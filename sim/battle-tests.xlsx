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  <sheet name="Matrix method" sheetId="2" state="visible" r:id="rId4"/>
    <sheet name="Team matrix" sheetId="3" state="visible" r:id="rId5"/>
    <sheet name="Enemy counters" sheetId="4" state="visible" r:id="rId6"/>
    <sheet name="Summary" sheetId="5" state="visible" r:id="rId7"/>
    <sheet name="Follow-up chains" sheetId="6" state="visible" r:id="rId8"/>
    <sheet name="Retargeting" sheetId="7" state="visible" r:id="rId9"/>
    <sheet name="Results" sheetId="8" state="visible" r:id="rId10"/>
  </sheets>
  <definedNames>
    <definedName function="false" hidden="true" localSheetId="5" name="_xlnm._FilterDatabase" vbProcedure="false">'Follow-up chains'!$A$5:$K$86</definedName>
    <definedName function="false" hidden="true" localSheetId="7" name="_xlnm._FilterDatabase" vbProcedure="false">Results!$A$1:$Q$241</definedName>
    <definedName function="false" hidden="true" localSheetId="6" name="_xlnm._FilterDatabase" vbProcedure="false">Retargeting!$A$5:$M$53</definedName>
    <definedName function="false" hidden="true" localSheetId="2" name="_xlnm._FilterDatabase" vbProcedure="false">'Team matrix'!$A$4:$M$46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<sst xmlns="http://schemas.openxmlformats.org/spreadsheetml/2006/main" count="1126" uniqueCount="221">
  <si>
    <t xml:space="preserve">Simulation parameters</t>
  </si>
  <si>
    <t xml:space="preserve">Every number on Results comes from running the combat model 250 times per row.</t>
  </si>
  <si>
    <t xml:space="preserve">Blue cells are levers. Change one and the Results sheet formulas follow.</t>
  </si>
  <si>
    <t xml:space="preserve">Lever</t>
  </si>
  <si>
    <t xml:space="preserve">Value</t>
  </si>
  <si>
    <t xml:space="preserve">Source</t>
  </si>
  <si>
    <t xml:space="preserve">Seconds per action (full ceremony)</t>
  </si>
  <si>
    <t xml:space="preserve">Measured from the animation prototype</t>
  </si>
  <si>
    <t xml:space="preserve">Seconds per action (quick mode)</t>
  </si>
  <si>
    <t xml:space="preserve">Target session length (minutes)</t>
  </si>
  <si>
    <t xml:space="preserve">From the pacing model</t>
  </si>
  <si>
    <t xml:space="preserve">Shield points per layer</t>
  </si>
  <si>
    <t xml:space="preserve">SHPER in the build</t>
  </si>
  <si>
    <t xml:space="preserve">Damage soak while shielded</t>
  </si>
  <si>
    <t xml:space="preserve">SOAK in the build</t>
  </si>
  <si>
    <t xml:space="preserve">Vulnerable bonus after break</t>
  </si>
  <si>
    <t xml:space="preserve">BRK.vuln in the build</t>
  </si>
  <si>
    <t xml:space="preserve">Break delay (share of action value)</t>
  </si>
  <si>
    <t xml:space="preserve">BRK.delay in the build</t>
  </si>
  <si>
    <t xml:space="preserve">Off-weakness shred rate</t>
  </si>
  <si>
    <t xml:space="preserve">UNMATCHED in the build</t>
  </si>
  <si>
    <t xml:space="preserve">Round cap</t>
  </si>
  <si>
    <t xml:space="preserve">Fight is lost if exceeded</t>
  </si>
  <si>
    <t xml:space="preserve">Seeds per row</t>
  </si>
  <si>
    <t xml:space="preserve">Sample size behind each average</t>
  </si>
  <si>
    <t xml:space="preserve">How to run a team test</t>
  </si>
  <si>
    <t xml:space="preserve">1  Calibrate the encounter first</t>
  </si>
  <si>
    <t xml:space="preserve">Move enemy health and damage until a plain team wins about two thirds and can lose both ways — wiped and timed out. A scenario where everything loses, or everything wins, measures nothing.</t>
  </si>
  <si>
    <t xml:space="preserve">2  Score by breakpoint, not win rate</t>
  </si>
  <si>
    <t xml:space="preserve">Raise a single difficulty multiplier until the build drops below 75% wins. That number is comparable across builds; win rate at a fixed difficulty saturates and is not.</t>
  </si>
  <si>
    <t xml:space="preserve">3  Sweep every scalar, never sample one</t>
  </si>
  <si>
    <t xml:space="preserve">A mechanic that looks dead at one value often has a threshold just above it. Ward read as worthless at 0.09 and reached 93% at 0.30.</t>
  </si>
  <si>
    <t xml:space="preserve">4  Record how fights are lost</t>
  </si>
  <si>
    <t xml:space="preserve">Wiped and timed out call for opposite fixes. Collect both or you will tune the wrong side.</t>
  </si>
  <si>
    <t xml:space="preserve">5  Score interest separately from power</t>
  </si>
  <si>
    <t xml:space="preserve">Power parity and watchability keep coming apart. A build can be equally strong and much duller. Both columns have to be read.</t>
  </si>
  <si>
    <t xml:space="preserve">6  Vary the encounter as well as the team</t>
  </si>
  <si>
    <t xml:space="preserve">Enemy health, damage, count and shields are variables too. Balance sits between the two sides, not inside one of them.</t>
  </si>
  <si>
    <t xml:space="preserve">Metrics</t>
  </si>
  <si>
    <t xml:space="preserve">metric</t>
  </si>
  <si>
    <t xml:space="preserve">what it measures</t>
  </si>
  <si>
    <t xml:space="preserve">kind</t>
  </si>
  <si>
    <t xml:space="preserve">breakpoint</t>
  </si>
  <si>
    <t xml:space="preserve">Difficulty multiplier where wins fall below 75%. Higher is stronger.</t>
  </si>
  <si>
    <t xml:space="preserve">power</t>
  </si>
  <si>
    <t xml:space="preserve">rounds</t>
  </si>
  <si>
    <t xml:space="preserve">Fight length in rounds at that breakpoint.</t>
  </si>
  <si>
    <t xml:space="preserve">pacing</t>
  </si>
  <si>
    <t xml:space="preserve">ev/rnd</t>
  </si>
  <si>
    <t xml:space="preserve">Damage events per round. Density of things happening.</t>
  </si>
  <si>
    <t xml:space="preserve">interest</t>
  </si>
  <si>
    <t xml:space="preserve">biggest</t>
  </si>
  <si>
    <t xml:space="preserve">Largest single number seen. The spectacle peak.</t>
  </si>
  <si>
    <t xml:space="preserve">escal</t>
  </si>
  <si>
    <t xml:space="preserve">Late-fight damage ÷ early-fight damage. Above 1.0 means the build comes online.</t>
  </si>
  <si>
    <t xml:space="preserve">even</t>
  </si>
  <si>
    <t xml:space="preserve">How evenly the crew contributes. 1.0 means everyone matters.</t>
  </si>
  <si>
    <t xml:space="preserve">drama</t>
  </si>
  <si>
    <t xml:space="preserve">How close results sit to a 75% win rate. 1.0 is maximum doubt.</t>
  </si>
  <si>
    <t xml:space="preserve">Team build matrix</t>
  </si>
  <si>
    <t xml:space="preserve">Each build tested against three encounter shapes. Breakpoint is the difficulty multiplier at which it stops winning three fights in four. 90 fights per probe, 150 at the breakpoint.</t>
  </si>
  <si>
    <t xml:space="preserve">build</t>
  </si>
  <si>
    <t xml:space="preserve">shape</t>
  </si>
  <si>
    <t xml:space="preserve">win@bp</t>
  </si>
  <si>
    <t xml:space="preserve">dot</t>
  </si>
  <si>
    <t xml:space="preserve">heal</t>
  </si>
  <si>
    <t xml:space="preserve">follows</t>
  </si>
  <si>
    <t xml:space="preserve">control  plain damage</t>
  </si>
  <si>
    <t xml:space="preserve">reference</t>
  </si>
  <si>
    <t xml:space="preserve">swarm</t>
  </si>
  <si>
    <t xml:space="preserve">elite</t>
  </si>
  <si>
    <t xml:space="preserve">control  all AoE</t>
  </si>
  <si>
    <t xml:space="preserve">heavy dot  1 type  big ticks</t>
  </si>
  <si>
    <t xml:space="preserve">heavy dot  no support</t>
  </si>
  <si>
    <t xml:space="preserve">wide dot   4 types  many hits</t>
  </si>
  <si>
    <t xml:space="preserve">wide dot   4 types  no support</t>
  </si>
  <si>
    <t xml:space="preserve">detonator  stacks then burst</t>
  </si>
  <si>
    <t xml:space="preserve">chain      follow-up cascade</t>
  </si>
  <si>
    <t xml:space="preserve">chain      cascade  same target</t>
  </si>
  <si>
    <t xml:space="preserve">break      shred and vulnerable</t>
  </si>
  <si>
    <t xml:space="preserve">tall       fewer  upgraded</t>
  </si>
  <si>
    <t xml:space="preserve">wide       more  unupgraded</t>
  </si>
  <si>
    <t xml:space="preserve">hybrid     dots + cascade</t>
  </si>
  <si>
    <t xml:space="preserve">hybrid     dots + detonator</t>
  </si>
  <si>
    <t xml:space="preserve">A  Breakpoint by encounter shape</t>
  </si>
  <si>
    <t xml:space="preserve">Higher is stronger. Compare down a column.</t>
  </si>
  <si>
    <t xml:space="preserve">B  Escalation — does the build come online?</t>
  </si>
  <si>
    <t xml:space="preserve">Late-fight damage over early. Above 1.0 means it grows through the fight.</t>
  </si>
  <si>
    <t xml:space="preserve">C  Spectacle — biggest single number</t>
  </si>
  <si>
    <t xml:space="preserve"> </t>
  </si>
  <si>
    <t xml:space="preserve">D  Density — events per round</t>
  </si>
  <si>
    <t xml:space="preserve">Enemy archetypes and what they punish</t>
  </si>
  <si>
    <t xml:space="preserve">Every enemy is a different problem, not a bigger health bar. Nine archetypes, each mixed five-into-eleven-chaff so the encounter stays realistic.</t>
  </si>
  <si>
    <t xml:space="preserve">archetype</t>
  </si>
  <si>
    <t xml:space="preserve">what it does</t>
  </si>
  <si>
    <t xml:space="preserve">chaff</t>
  </si>
  <si>
    <t xml:space="preserve">numerous and disposable — the scenario where your build simply works</t>
  </si>
  <si>
    <t xml:space="preserve">bruiser</t>
  </si>
  <si>
    <t xml:space="preserve">slow, heavy, high health — a general tax on everyone</t>
  </si>
  <si>
    <t xml:space="preserve">skirmisher</t>
  </si>
  <si>
    <t xml:space="preserve">fast, strikes past the front row</t>
  </si>
  <si>
    <t xml:space="preserve">warden</t>
  </si>
  <si>
    <t xml:space="preserve">thick shields and shelters the others — blunts direct damage, but shields do nothing against decay</t>
  </si>
  <si>
    <t xml:space="preserve">cleanser</t>
  </si>
  <si>
    <t xml:space="preserve">strips every ailment off the board and suppresses the next few — the answer to stacking builds</t>
  </si>
  <si>
    <t xml:space="preserve">splitter</t>
  </si>
  <si>
    <t xml:space="preserve">dies into two chaff — punishes overkill</t>
  </si>
  <si>
    <t xml:space="preserve">harrier</t>
  </si>
  <si>
    <t xml:space="preserve">many small hits — chews through barriers a big hit would not</t>
  </si>
  <si>
    <t xml:space="preserve">anchor</t>
  </si>
  <si>
    <t xml:space="preserve">strengthens every other enemy — punishes slow clears</t>
  </si>
  <si>
    <t xml:space="preserve">reflector</t>
  </si>
  <si>
    <t xml:space="preserve">returns a share of every hit — the answer to cascades and multi-hit</t>
  </si>
  <si>
    <t xml:space="preserve">A  Breakpoint against each archetype</t>
  </si>
  <si>
    <t xml:space="preserve">Difficulty multiplier at which the build stops winning three fights in four.</t>
  </si>
  <si>
    <t xml:space="preserve">B  Relative — how each archetype treats each build</t>
  </si>
  <si>
    <t xml:space="preserve">Each row divided by its own average. Below 0.85 is a hard counter; above 1.10 is a favourable matchup.</t>
  </si>
  <si>
    <t xml:space="preserve">Battle test summary</t>
  </si>
  <si>
    <t xml:space="preserve">Averages over 250 simulated fights per configuration. Every cell is a formula over the Results sheet.</t>
  </si>
  <si>
    <t xml:space="preserve">1  Does a bigger enemy field make fights longer?</t>
  </si>
  <si>
    <t xml:space="preserve">Win %, then average fight minutes. Enemy pool held at 20.</t>
  </si>
  <si>
    <t xml:space="preserve">3 on field</t>
  </si>
  <si>
    <t xml:space="preserve">6 on field</t>
  </si>
  <si>
    <t xml:space="preserve">9 on field</t>
  </si>
  <si>
    <t xml:space="preserve">AoE team</t>
  </si>
  <si>
    <t xml:space="preserve">Single target</t>
  </si>
  <si>
    <t xml:space="preserve">Mixed</t>
  </si>
  <si>
    <t xml:space="preserve">2  How does total enemy count split the archetypes?</t>
  </si>
  <si>
    <t xml:space="preserve">Win rate. Field size 9. Higher pool means more reinforcements cycling in.</t>
  </si>
  <si>
    <t xml:space="preserve">6 enemies</t>
  </si>
  <si>
    <t xml:space="preserve">12 enemies</t>
  </si>
  <si>
    <t xml:space="preserve">20 enemies</t>
  </si>
  <si>
    <t xml:space="preserve">3  Are the three harmonies equivalent?</t>
  </si>
  <si>
    <t xml:space="preserve">Win rate at 4 members, averaged over every field size and pool.</t>
  </si>
  <si>
    <t xml:space="preserve">none</t>
  </si>
  <si>
    <t xml:space="preserve">cascade</t>
  </si>
  <si>
    <t xml:space="preserve">break</t>
  </si>
  <si>
    <t xml:space="preserve">detonation</t>
  </si>
  <si>
    <t xml:space="preserve">4  Does each harmony scale with how many members you field?</t>
  </si>
  <si>
    <t xml:space="preserve">Win rate by member count, all teams and encounters pooled.</t>
  </si>
  <si>
    <t xml:space="preserve">2 members</t>
  </si>
  <si>
    <t xml:space="preserve">3 members</t>
  </si>
  <si>
    <t xml:space="preserve">4 members</t>
  </si>
  <si>
    <t xml:space="preserve">Cascade</t>
  </si>
  <si>
    <t xml:space="preserve">Break efficiency</t>
  </si>
  <si>
    <t xml:space="preserve">Detonation</t>
  </si>
  <si>
    <t xml:space="preserve">5  How many fights of each shape fit in a session?</t>
  </si>
  <si>
    <t xml:space="preserve">Fights per session at the target length on the Parameters sheet.</t>
  </si>
  <si>
    <t xml:space="preserve">Follow-up chain testing</t>
  </si>
  <si>
    <t xml:space="preserve">Follow-ups may trigger further follow-ups. Each reactor has a budget per triggering action; a global cap of 12 stops runaway. 250 fights per row.</t>
  </si>
  <si>
    <t xml:space="preserve">Trigger types in the test crew: on ally attack, on being hit, on a marked enemy being hit, on shield break. One reactor lands two hits per trigger.</t>
  </si>
  <si>
    <t xml:space="preserve">encounter</t>
  </si>
  <si>
    <t xml:space="preserve">reactors</t>
  </si>
  <si>
    <t xml:space="preserve">budget</t>
  </si>
  <si>
    <t xml:space="preserve">chaff hp</t>
  </si>
  <si>
    <t xml:space="preserve">follow ups</t>
  </si>
  <si>
    <t xml:space="preserve">mean chain</t>
  </si>
  <si>
    <t xml:space="preserve">max chain</t>
  </si>
  <si>
    <t xml:space="preserve">chains 5plus</t>
  </si>
  <si>
    <t xml:space="preserve">chains 8plus</t>
  </si>
  <si>
    <t xml:space="preserve">win pct</t>
  </si>
  <si>
    <t xml:space="preserve">chain per followup</t>
  </si>
  <si>
    <t xml:space="preserve">20 chaff + elites</t>
  </si>
  <si>
    <t xml:space="preserve">12 mixed</t>
  </si>
  <si>
    <t xml:space="preserve">6 elites</t>
  </si>
  <si>
    <t xml:space="preserve">A  Mean chain length</t>
  </si>
  <si>
    <t xml:space="preserve">How many follow-ups a single hit sets off, by target toughness.</t>
  </si>
  <si>
    <t xml:space="preserve">26 hp chaff</t>
  </si>
  <si>
    <t xml:space="preserve">40 hp chaff</t>
  </si>
  <si>
    <t xml:space="preserve">60 hp chaff</t>
  </si>
  <si>
    <t xml:space="preserve">3 reactors</t>
  </si>
  <si>
    <t xml:space="preserve">4 reactors</t>
  </si>
  <si>
    <t xml:space="preserve">5 reactors</t>
  </si>
  <si>
    <t xml:space="preserve">B  Chains of five or more per fight</t>
  </si>
  <si>
    <t xml:space="preserve">The spectacle metric. Averaged over every budget.</t>
  </si>
  <si>
    <t xml:space="preserve">C  Total follow-ups per fight</t>
  </si>
  <si>
    <t xml:space="preserve">Volume, by encounter shape. Five reactors.</t>
  </si>
  <si>
    <t xml:space="preserve">budget 2</t>
  </si>
  <si>
    <t xml:space="preserve">budget 3</t>
  </si>
  <si>
    <t xml:space="preserve">budget 4</t>
  </si>
  <si>
    <t xml:space="preserve">D  Does more budget lengthen the chain?</t>
  </si>
  <si>
    <t xml:space="preserve">Mean chain by budget. If it flattens or falls, lethality is the limit, not budget.</t>
  </si>
  <si>
    <t xml:space="preserve">Follow-up retargeting</t>
  </si>
  <si>
    <t xml:space="preserve">same = follow-ups stay on the original target; redirect = move on only when it dies; random = pick any live enemy; spread = always pick a different one.</t>
  </si>
  <si>
    <t xml:space="preserve">250 fights per row. Five reactive units, budget 3 each, chain capped at 12.</t>
  </si>
  <si>
    <t xml:space="preserve">crew</t>
  </si>
  <si>
    <t xml:space="preserve">mode</t>
  </si>
  <si>
    <t xml:space="preserve">pool</t>
  </si>
  <si>
    <t xml:space="preserve">field</t>
  </si>
  <si>
    <t xml:space="preserve">enemies per chain</t>
  </si>
  <si>
    <t xml:space="preserve">seconds if full action</t>
  </si>
  <si>
    <t xml:space="preserve">seconds if quick strike</t>
  </si>
  <si>
    <t xml:space="preserve">single</t>
  </si>
  <si>
    <t xml:space="preserve">same</t>
  </si>
  <si>
    <t xml:space="preserve">redirect</t>
  </si>
  <si>
    <t xml:space="preserve">random</t>
  </si>
  <si>
    <t xml:space="preserve">spread</t>
  </si>
  <si>
    <t xml:space="preserve">aoe</t>
  </si>
  <si>
    <t xml:space="preserve">A  Mean chain length by targeting mode</t>
  </si>
  <si>
    <t xml:space="preserve">Single-target crew, 40hp chaff.</t>
  </si>
  <si>
    <t xml:space="preserve">B  Distinct enemies touched per chain</t>
  </si>
  <si>
    <t xml:space="preserve">The AoE effect from single-target units.</t>
  </si>
  <si>
    <t xml:space="preserve">C  Chains of five or more per fight</t>
  </si>
  <si>
    <t xml:space="preserve">D  What the chains cost in screen time</t>
  </si>
  <si>
    <t xml:space="preserve">Seconds of follow-up animation per fight at 20 enemies. The right column is the budget that works.</t>
  </si>
  <si>
    <t xml:space="preserve">as full staged actions</t>
  </si>
  <si>
    <t xml:space="preserve">as quick strikes (0.30s)</t>
  </si>
  <si>
    <t xml:space="preserve">team</t>
  </si>
  <si>
    <t xml:space="preserve">harmony</t>
  </si>
  <si>
    <t xml:space="preserve">members</t>
  </si>
  <si>
    <t xml:space="preserve">actions</t>
  </si>
  <si>
    <t xml:space="preserve">breaks</t>
  </si>
  <si>
    <t xml:space="preserve">harmony triggers</t>
  </si>
  <si>
    <t xml:space="preserve">detonations</t>
  </si>
  <si>
    <t xml:space="preserve">damage taken</t>
  </si>
  <si>
    <t xml:space="preserve">peak on board</t>
  </si>
  <si>
    <t xml:space="preserve">fight minutes</t>
  </si>
  <si>
    <t xml:space="preserve">actions per round</t>
  </si>
  <si>
    <t xml:space="preserve">fights per session</t>
  </si>
  <si>
    <t xml:space="preserve">pct of session</t>
  </si>
  <si>
    <t xml:space="preserve">mixed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</si>
</sst>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0"/>
    <numFmt numFmtId="168" formatCode="0.0"/>
    <numFmt numFmtId="169" formatCode="0.000"/>
    <numFmt numFmtId="170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3C48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9E2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3C4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C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true" outlineLevel="0" collapsed="false">
      <c r="A6" s="5" t="s">
        <v>6</v>
      </c>
      <c r="B6" s="6" t="n">
        <v>1.55</v>
      </c>
      <c r="C6" s="7" t="s">
        <v>7</v>
      </c>
    </row>
    <row r="7" customFormat="false" ht="15" hidden="false" customHeight="true" outlineLevel="0" collapsed="false">
      <c r="A7" s="5" t="s">
        <v>8</v>
      </c>
      <c r="B7" s="8" t="n">
        <v>0.72</v>
      </c>
      <c r="C7" s="7" t="s">
        <v>7</v>
      </c>
    </row>
    <row r="8" customFormat="false" ht="15" hidden="false" customHeight="true" outlineLevel="0" collapsed="false">
      <c r="A8" s="5" t="s">
        <v>9</v>
      </c>
      <c r="B8" s="6" t="n">
        <v>47</v>
      </c>
      <c r="C8" s="7" t="s">
        <v>10</v>
      </c>
    </row>
    <row r="9" customFormat="false" ht="15" hidden="false" customHeight="true" outlineLevel="0" collapsed="false">
      <c r="A9" s="5" t="s">
        <v>11</v>
      </c>
      <c r="B9" s="6" t="n">
        <v>14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8" t="n">
        <v>0.4</v>
      </c>
      <c r="C10" s="7" t="s">
        <v>14</v>
      </c>
    </row>
    <row r="11" customFormat="false" ht="15" hidden="false" customHeight="true" outlineLevel="0" collapsed="false">
      <c r="A11" s="5" t="s">
        <v>15</v>
      </c>
      <c r="B11" s="8" t="n">
        <v>0.35</v>
      </c>
      <c r="C11" s="7" t="s">
        <v>16</v>
      </c>
    </row>
    <row r="12" customFormat="false" ht="15" hidden="false" customHeight="true" outlineLevel="0" collapsed="false">
      <c r="A12" s="5" t="s">
        <v>17</v>
      </c>
      <c r="B12" s="8" t="n">
        <v>0.35</v>
      </c>
      <c r="C12" s="7" t="s">
        <v>18</v>
      </c>
    </row>
    <row r="13" customFormat="false" ht="15" hidden="false" customHeight="true" outlineLevel="0" collapsed="false">
      <c r="A13" s="5" t="s">
        <v>19</v>
      </c>
      <c r="B13" s="8" t="n">
        <v>0.2</v>
      </c>
      <c r="C13" s="7" t="s">
        <v>20</v>
      </c>
    </row>
    <row r="14" customFormat="false" ht="15" hidden="false" customHeight="true" outlineLevel="0" collapsed="false">
      <c r="A14" s="5" t="s">
        <v>21</v>
      </c>
      <c r="B14" s="6" t="n">
        <v>18</v>
      </c>
      <c r="C14" s="7" t="s">
        <v>22</v>
      </c>
    </row>
    <row r="15" customFormat="false" ht="15" hidden="false" customHeight="true" outlineLevel="0" collapsed="false">
      <c r="A15" s="5" t="s">
        <v>23</v>
      </c>
      <c r="B15" s="6" t="n">
        <v>250</v>
      </c>
      <c r="C15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4"/>
    <col collapsed="false" customWidth="true" hidden="false" outlineLevel="0" max="3" min="3" style="1" width="11"/>
    <col collapsed="false" customWidth="true" hidden="false" outlineLevel="0" max="6" min="4" style="1" width="20"/>
  </cols>
  <sheetData>
    <row r="1" customFormat="false" ht="17.25" hidden="false" customHeight="true" outlineLevel="0" collapsed="false">
      <c r="A1" s="9" t="s">
        <v>25</v>
      </c>
    </row>
    <row r="3" customFormat="false" ht="15" hidden="false" customHeight="true" outlineLevel="0" collapsed="false">
      <c r="A3" s="10" t="s">
        <v>26</v>
      </c>
    </row>
    <row r="4" customFormat="false" ht="15" hidden="false" customHeight="true" outlineLevel="0" collapsed="false">
      <c r="A4" s="11" t="s">
        <v>27</v>
      </c>
      <c r="B4" s="11"/>
      <c r="C4" s="11"/>
      <c r="D4" s="11"/>
      <c r="E4" s="11"/>
      <c r="F4" s="11"/>
    </row>
    <row r="5" customFormat="false" ht="15" hidden="false" customHeight="true" outlineLevel="0" collapsed="false">
      <c r="A5" s="11"/>
      <c r="B5" s="11"/>
      <c r="C5" s="11"/>
      <c r="D5" s="11"/>
      <c r="E5" s="11"/>
      <c r="F5" s="11"/>
    </row>
    <row r="7" customFormat="false" ht="15" hidden="false" customHeight="true" outlineLevel="0" collapsed="false">
      <c r="A7" s="10" t="s">
        <v>28</v>
      </c>
    </row>
    <row r="8" customFormat="false" ht="15" hidden="false" customHeight="true" outlineLevel="0" collapsed="false">
      <c r="A8" s="11" t="s">
        <v>29</v>
      </c>
      <c r="B8" s="11"/>
      <c r="C8" s="11"/>
      <c r="D8" s="11"/>
      <c r="E8" s="11"/>
      <c r="F8" s="11"/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</row>
    <row r="11" customFormat="false" ht="15" hidden="false" customHeight="true" outlineLevel="0" collapsed="false">
      <c r="A11" s="10" t="s">
        <v>30</v>
      </c>
    </row>
    <row r="12" customFormat="false" ht="15" hidden="false" customHeight="true" outlineLevel="0" collapsed="false">
      <c r="A12" s="11" t="s">
        <v>31</v>
      </c>
      <c r="B12" s="11"/>
      <c r="C12" s="11"/>
      <c r="D12" s="11"/>
      <c r="E12" s="11"/>
      <c r="F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</row>
    <row r="15" customFormat="false" ht="15" hidden="false" customHeight="true" outlineLevel="0" collapsed="false">
      <c r="A15" s="10" t="s">
        <v>32</v>
      </c>
    </row>
    <row r="16" customFormat="false" ht="15" hidden="false" customHeight="true" outlineLevel="0" collapsed="false">
      <c r="A16" s="11" t="s">
        <v>33</v>
      </c>
      <c r="B16" s="11"/>
      <c r="C16" s="11"/>
      <c r="D16" s="11"/>
      <c r="E16" s="11"/>
      <c r="F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</row>
    <row r="19" customFormat="false" ht="15" hidden="false" customHeight="true" outlineLevel="0" collapsed="false">
      <c r="A19" s="10" t="s">
        <v>34</v>
      </c>
    </row>
    <row r="20" customFormat="false" ht="15" hidden="false" customHeight="true" outlineLevel="0" collapsed="false">
      <c r="A20" s="11" t="s">
        <v>35</v>
      </c>
      <c r="B20" s="11"/>
      <c r="C20" s="11"/>
      <c r="D20" s="11"/>
      <c r="E20" s="11"/>
      <c r="F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</row>
    <row r="23" customFormat="false" ht="15" hidden="false" customHeight="true" outlineLevel="0" collapsed="false">
      <c r="A23" s="10" t="s">
        <v>36</v>
      </c>
    </row>
    <row r="24" customFormat="false" ht="15" hidden="false" customHeight="true" outlineLevel="0" collapsed="false">
      <c r="A24" s="11" t="s">
        <v>37</v>
      </c>
      <c r="B24" s="11"/>
      <c r="C24" s="11"/>
      <c r="D24" s="11"/>
      <c r="E24" s="11"/>
      <c r="F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</row>
    <row r="27" customFormat="false" ht="15" hidden="false" customHeight="true" outlineLevel="0" collapsed="false">
      <c r="A27" s="2" t="s">
        <v>38</v>
      </c>
    </row>
    <row r="28" customFormat="false" ht="15" hidden="false" customHeight="true" outlineLevel="0" collapsed="false">
      <c r="A28" s="4" t="s">
        <v>39</v>
      </c>
      <c r="B28" s="4" t="s">
        <v>40</v>
      </c>
      <c r="C28" s="4" t="s">
        <v>41</v>
      </c>
    </row>
    <row r="29" customFormat="false" ht="15" hidden="false" customHeight="true" outlineLevel="0" collapsed="false">
      <c r="A29" s="12" t="s">
        <v>42</v>
      </c>
      <c r="B29" s="13" t="s">
        <v>43</v>
      </c>
      <c r="C29" s="13" t="s">
        <v>44</v>
      </c>
    </row>
    <row r="30" customFormat="false" ht="15" hidden="false" customHeight="true" outlineLevel="0" collapsed="false">
      <c r="A30" s="12" t="s">
        <v>45</v>
      </c>
      <c r="B30" s="13" t="s">
        <v>46</v>
      </c>
      <c r="C30" s="13" t="s">
        <v>47</v>
      </c>
    </row>
    <row r="31" customFormat="false" ht="15" hidden="false" customHeight="true" outlineLevel="0" collapsed="false">
      <c r="A31" s="12" t="s">
        <v>48</v>
      </c>
      <c r="B31" s="13" t="s">
        <v>49</v>
      </c>
      <c r="C31" s="13" t="s">
        <v>50</v>
      </c>
    </row>
    <row r="32" customFormat="false" ht="15" hidden="false" customHeight="true" outlineLevel="0" collapsed="false">
      <c r="A32" s="12" t="s">
        <v>51</v>
      </c>
      <c r="B32" s="13" t="s">
        <v>52</v>
      </c>
      <c r="C32" s="13" t="s">
        <v>50</v>
      </c>
    </row>
    <row r="33" customFormat="false" ht="15" hidden="false" customHeight="true" outlineLevel="0" collapsed="false">
      <c r="A33" s="12" t="s">
        <v>53</v>
      </c>
      <c r="B33" s="13" t="s">
        <v>54</v>
      </c>
      <c r="C33" s="13" t="s">
        <v>50</v>
      </c>
    </row>
    <row r="34" customFormat="false" ht="15" hidden="false" customHeight="true" outlineLevel="0" collapsed="false">
      <c r="A34" s="12" t="s">
        <v>55</v>
      </c>
      <c r="B34" s="13" t="s">
        <v>56</v>
      </c>
      <c r="C34" s="13" t="s">
        <v>50</v>
      </c>
    </row>
    <row r="35" customFormat="false" ht="15" hidden="false" customHeight="true" outlineLevel="0" collapsed="false">
      <c r="A35" s="12" t="s">
        <v>57</v>
      </c>
      <c r="B35" s="13" t="s">
        <v>58</v>
      </c>
      <c r="C35" s="13" t="s">
        <v>50</v>
      </c>
    </row>
  </sheetData>
  <mergeCells count="6">
    <mergeCell ref="A4:F5"/>
    <mergeCell ref="A8:F9"/>
    <mergeCell ref="A12:F13"/>
    <mergeCell ref="A16:F17"/>
    <mergeCell ref="A20:F21"/>
    <mergeCell ref="A24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  <col collapsed="false" customWidth="true" hidden="false" outlineLevel="0" max="7" min="5" style="1" width="9"/>
    <col collapsed="false" customWidth="true" hidden="false" outlineLevel="0" max="9" min="8" style="1" width="8"/>
    <col collapsed="false" customWidth="true" hidden="false" outlineLevel="0" max="10" min="10" style="1" width="9"/>
    <col collapsed="false" customWidth="true" hidden="false" outlineLevel="0" max="13" min="11" style="1" width="8"/>
  </cols>
  <sheetData>
    <row r="1" customFormat="false" ht="17.25" hidden="false" customHeight="true" outlineLevel="0" collapsed="false">
      <c r="A1" s="9" t="s">
        <v>59</v>
      </c>
    </row>
    <row r="2" customFormat="false" ht="15" hidden="false" customHeight="true" outlineLevel="0" collapsed="false">
      <c r="A2" s="7" t="s">
        <v>60</v>
      </c>
    </row>
    <row r="4" customFormat="false" ht="15" hidden="false" customHeight="true" outlineLevel="0" collapsed="false">
      <c r="A4" s="14" t="s">
        <v>61</v>
      </c>
      <c r="B4" s="14" t="s">
        <v>62</v>
      </c>
      <c r="C4" s="14" t="s">
        <v>42</v>
      </c>
      <c r="D4" s="14" t="s">
        <v>63</v>
      </c>
      <c r="E4" s="14" t="s">
        <v>45</v>
      </c>
      <c r="F4" s="14" t="s">
        <v>48</v>
      </c>
      <c r="G4" s="14" t="s">
        <v>51</v>
      </c>
      <c r="H4" s="14" t="s">
        <v>64</v>
      </c>
      <c r="I4" s="14" t="s">
        <v>65</v>
      </c>
      <c r="J4" s="14" t="s">
        <v>66</v>
      </c>
      <c r="K4" s="14" t="s">
        <v>55</v>
      </c>
      <c r="L4" s="14" t="s">
        <v>53</v>
      </c>
      <c r="M4" s="14" t="s">
        <v>57</v>
      </c>
    </row>
    <row r="5" customFormat="false" ht="15" hidden="false" customHeight="true" outlineLevel="0" collapsed="false">
      <c r="A5" s="13" t="s">
        <v>67</v>
      </c>
      <c r="B5" s="13" t="s">
        <v>68</v>
      </c>
      <c r="C5" s="12" t="n">
        <v>0.95</v>
      </c>
      <c r="D5" s="13" t="n">
        <v>78</v>
      </c>
      <c r="E5" s="13" t="n">
        <v>16.31</v>
      </c>
      <c r="F5" s="13" t="n">
        <v>8</v>
      </c>
      <c r="G5" s="13" t="n">
        <v>19</v>
      </c>
      <c r="H5" s="13" t="n">
        <v>0</v>
      </c>
      <c r="I5" s="13" t="n">
        <v>303</v>
      </c>
      <c r="J5" s="13" t="n">
        <v>0</v>
      </c>
      <c r="K5" s="13" t="n">
        <v>0.53</v>
      </c>
      <c r="L5" s="13" t="n">
        <v>0.48</v>
      </c>
      <c r="M5" s="13" t="n">
        <v>0.96</v>
      </c>
    </row>
    <row r="6" customFormat="false" ht="15" hidden="false" customHeight="true" outlineLevel="0" collapsed="false">
      <c r="A6" s="13" t="s">
        <v>67</v>
      </c>
      <c r="B6" s="13" t="s">
        <v>69</v>
      </c>
      <c r="C6" s="12" t="n">
        <v>0.91</v>
      </c>
      <c r="D6" s="13" t="n">
        <v>94</v>
      </c>
      <c r="E6" s="13" t="n">
        <v>16.37</v>
      </c>
      <c r="F6" s="13" t="n">
        <v>9.1</v>
      </c>
      <c r="G6" s="13" t="n">
        <v>19</v>
      </c>
      <c r="H6" s="13" t="n">
        <v>0</v>
      </c>
      <c r="I6" s="13" t="n">
        <v>300</v>
      </c>
      <c r="J6" s="13" t="n">
        <v>0</v>
      </c>
      <c r="K6" s="13" t="n">
        <v>0.58</v>
      </c>
      <c r="L6" s="13" t="n">
        <v>0.58</v>
      </c>
      <c r="M6" s="13" t="n">
        <v>0.75</v>
      </c>
    </row>
    <row r="7" customFormat="false" ht="15" hidden="false" customHeight="true" outlineLevel="0" collapsed="false">
      <c r="A7" s="13" t="s">
        <v>67</v>
      </c>
      <c r="B7" s="13" t="s">
        <v>70</v>
      </c>
      <c r="C7" s="12" t="n">
        <v>1.61</v>
      </c>
      <c r="D7" s="13" t="n">
        <v>92.7</v>
      </c>
      <c r="E7" s="13" t="n">
        <v>15.73</v>
      </c>
      <c r="F7" s="13" t="n">
        <v>6</v>
      </c>
      <c r="G7" s="13" t="n">
        <v>27</v>
      </c>
      <c r="H7" s="13" t="n">
        <v>0</v>
      </c>
      <c r="I7" s="13" t="n">
        <v>257</v>
      </c>
      <c r="J7" s="13" t="n">
        <v>0</v>
      </c>
      <c r="K7" s="13" t="n">
        <v>0.59</v>
      </c>
      <c r="L7" s="13" t="n">
        <v>0.55</v>
      </c>
      <c r="M7" s="13" t="n">
        <v>0.76</v>
      </c>
    </row>
    <row r="8" customFormat="false" ht="15" hidden="false" customHeight="true" outlineLevel="0" collapsed="false">
      <c r="A8" s="13" t="s">
        <v>71</v>
      </c>
      <c r="B8" s="13" t="s">
        <v>68</v>
      </c>
      <c r="C8" s="12" t="n">
        <v>1.67</v>
      </c>
      <c r="D8" s="13" t="n">
        <v>80</v>
      </c>
      <c r="E8" s="13" t="n">
        <v>13.07</v>
      </c>
      <c r="F8" s="13" t="n">
        <v>18.8</v>
      </c>
      <c r="G8" s="13" t="n">
        <v>28</v>
      </c>
      <c r="H8" s="13" t="n">
        <v>0</v>
      </c>
      <c r="I8" s="13" t="n">
        <v>230</v>
      </c>
      <c r="J8" s="13" t="n">
        <v>0</v>
      </c>
      <c r="K8" s="13" t="n">
        <v>0.38</v>
      </c>
      <c r="L8" s="13" t="n">
        <v>0.28</v>
      </c>
      <c r="M8" s="13" t="n">
        <v>0.93</v>
      </c>
    </row>
    <row r="9" customFormat="false" ht="15" hidden="false" customHeight="true" outlineLevel="0" collapsed="false">
      <c r="A9" s="13" t="s">
        <v>71</v>
      </c>
      <c r="B9" s="13" t="s">
        <v>69</v>
      </c>
      <c r="C9" s="12" t="n">
        <v>1.85</v>
      </c>
      <c r="D9" s="13" t="n">
        <v>73.3</v>
      </c>
      <c r="E9" s="13" t="n">
        <v>13.28</v>
      </c>
      <c r="F9" s="13" t="n">
        <v>22.5</v>
      </c>
      <c r="G9" s="13" t="n">
        <v>31</v>
      </c>
      <c r="H9" s="13" t="n">
        <v>0</v>
      </c>
      <c r="I9" s="13" t="n">
        <v>232</v>
      </c>
      <c r="J9" s="13" t="n">
        <v>0</v>
      </c>
      <c r="K9" s="13" t="n">
        <v>0.33</v>
      </c>
      <c r="L9" s="13" t="n">
        <v>0.4</v>
      </c>
      <c r="M9" s="13" t="n">
        <v>0.98</v>
      </c>
    </row>
    <row r="10" customFormat="false" ht="15" hidden="false" customHeight="true" outlineLevel="0" collapsed="false">
      <c r="A10" s="13" t="s">
        <v>71</v>
      </c>
      <c r="B10" s="13" t="s">
        <v>70</v>
      </c>
      <c r="C10" s="12" t="n">
        <v>2.13</v>
      </c>
      <c r="D10" s="13" t="n">
        <v>92</v>
      </c>
      <c r="E10" s="13" t="n">
        <v>14.26</v>
      </c>
      <c r="F10" s="13" t="n">
        <v>11.9</v>
      </c>
      <c r="G10" s="13" t="n">
        <v>36</v>
      </c>
      <c r="H10" s="13" t="n">
        <v>0</v>
      </c>
      <c r="I10" s="13" t="n">
        <v>239</v>
      </c>
      <c r="J10" s="13" t="n">
        <v>0</v>
      </c>
      <c r="K10" s="13" t="n">
        <v>0.51</v>
      </c>
      <c r="L10" s="13" t="n">
        <v>0.61</v>
      </c>
      <c r="M10" s="13" t="n">
        <v>0.77</v>
      </c>
    </row>
    <row r="11" customFormat="false" ht="15" hidden="false" customHeight="true" outlineLevel="0" collapsed="false">
      <c r="A11" s="13" t="s">
        <v>72</v>
      </c>
      <c r="B11" s="13" t="s">
        <v>68</v>
      </c>
      <c r="C11" s="12" t="n">
        <v>2</v>
      </c>
      <c r="D11" s="13" t="n">
        <v>73.3</v>
      </c>
      <c r="E11" s="13" t="n">
        <v>8.43</v>
      </c>
      <c r="F11" s="13" t="n">
        <v>18.1</v>
      </c>
      <c r="G11" s="13" t="n">
        <v>154</v>
      </c>
      <c r="H11" s="13" t="n">
        <v>1372</v>
      </c>
      <c r="I11" s="13" t="n">
        <v>207</v>
      </c>
      <c r="J11" s="13" t="n">
        <v>0</v>
      </c>
      <c r="K11" s="13" t="n">
        <v>0.33</v>
      </c>
      <c r="L11" s="13" t="n">
        <v>1.09</v>
      </c>
      <c r="M11" s="13" t="n">
        <v>0.98</v>
      </c>
    </row>
    <row r="12" customFormat="false" ht="15" hidden="false" customHeight="true" outlineLevel="0" collapsed="false">
      <c r="A12" s="13" t="s">
        <v>72</v>
      </c>
      <c r="B12" s="13" t="s">
        <v>69</v>
      </c>
      <c r="C12" s="12" t="n">
        <v>1.91</v>
      </c>
      <c r="D12" s="13" t="n">
        <v>77.3</v>
      </c>
      <c r="E12" s="13" t="n">
        <v>10.56</v>
      </c>
      <c r="F12" s="13" t="n">
        <v>18.8</v>
      </c>
      <c r="G12" s="13" t="n">
        <v>154</v>
      </c>
      <c r="H12" s="13" t="n">
        <v>1412</v>
      </c>
      <c r="I12" s="13" t="n">
        <v>266</v>
      </c>
      <c r="J12" s="13" t="n">
        <v>0</v>
      </c>
      <c r="K12" s="13" t="n">
        <v>0.37</v>
      </c>
      <c r="L12" s="13" t="n">
        <v>0.54</v>
      </c>
      <c r="M12" s="13" t="n">
        <v>0.97</v>
      </c>
    </row>
    <row r="13" customFormat="false" ht="15" hidden="false" customHeight="true" outlineLevel="0" collapsed="false">
      <c r="A13" s="13" t="s">
        <v>72</v>
      </c>
      <c r="B13" s="13" t="s">
        <v>70</v>
      </c>
      <c r="C13" s="12" t="n">
        <v>2.92</v>
      </c>
      <c r="D13" s="13" t="n">
        <v>72.7</v>
      </c>
      <c r="E13" s="13" t="n">
        <v>9.73</v>
      </c>
      <c r="F13" s="13" t="n">
        <v>8.8</v>
      </c>
      <c r="G13" s="13" t="n">
        <v>154</v>
      </c>
      <c r="H13" s="13" t="n">
        <v>1280</v>
      </c>
      <c r="I13" s="13" t="n">
        <v>173</v>
      </c>
      <c r="J13" s="13" t="n">
        <v>0</v>
      </c>
      <c r="K13" s="13" t="n">
        <v>0.46</v>
      </c>
      <c r="L13" s="13" t="n">
        <v>0.91</v>
      </c>
      <c r="M13" s="13" t="n">
        <v>0.97</v>
      </c>
    </row>
    <row r="14" customFormat="false" ht="15" hidden="false" customHeight="true" outlineLevel="0" collapsed="false">
      <c r="A14" s="13" t="s">
        <v>73</v>
      </c>
      <c r="B14" s="13" t="s">
        <v>68</v>
      </c>
      <c r="C14" s="12" t="n">
        <v>1.72</v>
      </c>
      <c r="D14" s="13" t="n">
        <v>73.3</v>
      </c>
      <c r="E14" s="13" t="n">
        <v>7.65</v>
      </c>
      <c r="F14" s="13" t="n">
        <v>17.2</v>
      </c>
      <c r="G14" s="13" t="n">
        <v>154</v>
      </c>
      <c r="H14" s="13" t="n">
        <v>1144</v>
      </c>
      <c r="I14" s="13" t="n">
        <v>105</v>
      </c>
      <c r="J14" s="13" t="n">
        <v>0</v>
      </c>
      <c r="K14" s="13" t="n">
        <v>0.38</v>
      </c>
      <c r="L14" s="13" t="n">
        <v>1</v>
      </c>
      <c r="M14" s="13" t="n">
        <v>0.98</v>
      </c>
    </row>
    <row r="15" customFormat="false" ht="15" hidden="false" customHeight="true" outlineLevel="0" collapsed="false">
      <c r="A15" s="13" t="s">
        <v>73</v>
      </c>
      <c r="B15" s="13" t="s">
        <v>69</v>
      </c>
      <c r="C15" s="12" t="n">
        <v>1.72</v>
      </c>
      <c r="D15" s="13" t="n">
        <v>77.3</v>
      </c>
      <c r="E15" s="13" t="n">
        <v>9.15</v>
      </c>
      <c r="F15" s="13" t="n">
        <v>18.2</v>
      </c>
      <c r="G15" s="13" t="n">
        <v>154</v>
      </c>
      <c r="H15" s="13" t="n">
        <v>1269</v>
      </c>
      <c r="I15" s="13" t="n">
        <v>147</v>
      </c>
      <c r="J15" s="13" t="n">
        <v>0</v>
      </c>
      <c r="K15" s="13" t="n">
        <v>0.4</v>
      </c>
      <c r="L15" s="13" t="n">
        <v>0.75</v>
      </c>
      <c r="M15" s="13" t="n">
        <v>0.97</v>
      </c>
    </row>
    <row r="16" customFormat="false" ht="15" hidden="false" customHeight="true" outlineLevel="0" collapsed="false">
      <c r="A16" s="13" t="s">
        <v>73</v>
      </c>
      <c r="B16" s="13" t="s">
        <v>70</v>
      </c>
      <c r="C16" s="12" t="n">
        <v>2.63</v>
      </c>
      <c r="D16" s="13" t="n">
        <v>76.7</v>
      </c>
      <c r="E16" s="13" t="n">
        <v>9.47</v>
      </c>
      <c r="F16" s="13" t="n">
        <v>8.6</v>
      </c>
      <c r="G16" s="13" t="n">
        <v>154</v>
      </c>
      <c r="H16" s="13" t="n">
        <v>1152</v>
      </c>
      <c r="I16" s="13" t="n">
        <v>131</v>
      </c>
      <c r="J16" s="13" t="n">
        <v>0</v>
      </c>
      <c r="K16" s="13" t="n">
        <v>0.46</v>
      </c>
      <c r="L16" s="13" t="n">
        <v>0.94</v>
      </c>
      <c r="M16" s="13" t="n">
        <v>0.98</v>
      </c>
    </row>
    <row r="17" customFormat="false" ht="15" hidden="false" customHeight="true" outlineLevel="0" collapsed="false">
      <c r="A17" s="13" t="s">
        <v>74</v>
      </c>
      <c r="B17" s="13" t="s">
        <v>68</v>
      </c>
      <c r="C17" s="12" t="n">
        <v>1.54</v>
      </c>
      <c r="D17" s="13" t="n">
        <v>72</v>
      </c>
      <c r="E17" s="13" t="n">
        <v>11.58</v>
      </c>
      <c r="F17" s="13" t="n">
        <v>24.5</v>
      </c>
      <c r="G17" s="13" t="n">
        <v>48</v>
      </c>
      <c r="H17" s="13" t="n">
        <v>597</v>
      </c>
      <c r="I17" s="13" t="n">
        <v>285</v>
      </c>
      <c r="J17" s="13" t="n">
        <v>0</v>
      </c>
      <c r="K17" s="13" t="n">
        <v>0.42</v>
      </c>
      <c r="L17" s="13" t="n">
        <v>0.54</v>
      </c>
      <c r="M17" s="13" t="n">
        <v>0.96</v>
      </c>
    </row>
    <row r="18" customFormat="false" ht="15" hidden="false" customHeight="true" outlineLevel="0" collapsed="false">
      <c r="A18" s="13" t="s">
        <v>74</v>
      </c>
      <c r="B18" s="13" t="s">
        <v>69</v>
      </c>
      <c r="C18" s="12" t="n">
        <v>1.43</v>
      </c>
      <c r="D18" s="13" t="n">
        <v>84.7</v>
      </c>
      <c r="E18" s="13" t="n">
        <v>11.72</v>
      </c>
      <c r="F18" s="13" t="n">
        <v>29.3</v>
      </c>
      <c r="G18" s="13" t="n">
        <v>42</v>
      </c>
      <c r="H18" s="13" t="n">
        <v>617</v>
      </c>
      <c r="I18" s="13" t="n">
        <v>306</v>
      </c>
      <c r="J18" s="13" t="n">
        <v>0</v>
      </c>
      <c r="K18" s="13" t="n">
        <v>0.38</v>
      </c>
      <c r="L18" s="13" t="n">
        <v>0.69</v>
      </c>
      <c r="M18" s="13" t="n">
        <v>0.87</v>
      </c>
    </row>
    <row r="19" customFormat="false" ht="15" hidden="false" customHeight="true" outlineLevel="0" collapsed="false">
      <c r="A19" s="13" t="s">
        <v>74</v>
      </c>
      <c r="B19" s="13" t="s">
        <v>70</v>
      </c>
      <c r="C19" s="12" t="n">
        <v>2.26</v>
      </c>
      <c r="D19" s="13" t="n">
        <v>80</v>
      </c>
      <c r="E19" s="13" t="n">
        <v>12.95</v>
      </c>
      <c r="F19" s="13" t="n">
        <v>15.7</v>
      </c>
      <c r="G19" s="13" t="n">
        <v>69</v>
      </c>
      <c r="H19" s="13" t="n">
        <v>514</v>
      </c>
      <c r="I19" s="13" t="n">
        <v>294</v>
      </c>
      <c r="J19" s="13" t="n">
        <v>0</v>
      </c>
      <c r="K19" s="13" t="n">
        <v>0.47</v>
      </c>
      <c r="L19" s="13" t="n">
        <v>0.61</v>
      </c>
      <c r="M19" s="13" t="n">
        <v>0.93</v>
      </c>
    </row>
    <row r="20" customFormat="false" ht="15" hidden="false" customHeight="true" outlineLevel="0" collapsed="false">
      <c r="A20" s="13" t="s">
        <v>75</v>
      </c>
      <c r="B20" s="13" t="s">
        <v>68</v>
      </c>
      <c r="C20" s="12" t="n">
        <v>1.37</v>
      </c>
      <c r="D20" s="13" t="n">
        <v>69.3</v>
      </c>
      <c r="E20" s="13" t="n">
        <v>10.73</v>
      </c>
      <c r="F20" s="13" t="n">
        <v>24.5</v>
      </c>
      <c r="G20" s="13" t="n">
        <v>42</v>
      </c>
      <c r="H20" s="13" t="n">
        <v>537</v>
      </c>
      <c r="I20" s="13" t="n">
        <v>168</v>
      </c>
      <c r="J20" s="13" t="n">
        <v>0</v>
      </c>
      <c r="K20" s="13" t="n">
        <v>0.4</v>
      </c>
      <c r="L20" s="13" t="n">
        <v>0.58</v>
      </c>
      <c r="M20" s="13" t="n">
        <v>0.92</v>
      </c>
    </row>
    <row r="21" customFormat="false" ht="15" hidden="false" customHeight="true" outlineLevel="0" collapsed="false">
      <c r="A21" s="13" t="s">
        <v>75</v>
      </c>
      <c r="B21" s="13" t="s">
        <v>69</v>
      </c>
      <c r="C21" s="12" t="n">
        <v>1.26</v>
      </c>
      <c r="D21" s="13" t="n">
        <v>88</v>
      </c>
      <c r="E21" s="13" t="n">
        <v>10.89</v>
      </c>
      <c r="F21" s="13" t="n">
        <v>27.4</v>
      </c>
      <c r="G21" s="13" t="n">
        <v>42</v>
      </c>
      <c r="H21" s="13" t="n">
        <v>507</v>
      </c>
      <c r="I21" s="13" t="n">
        <v>178</v>
      </c>
      <c r="J21" s="13" t="n">
        <v>0</v>
      </c>
      <c r="K21" s="13" t="n">
        <v>0.39</v>
      </c>
      <c r="L21" s="13" t="n">
        <v>0.63</v>
      </c>
      <c r="M21" s="13" t="n">
        <v>0.83</v>
      </c>
    </row>
    <row r="22" customFormat="false" ht="15" hidden="false" customHeight="true" outlineLevel="0" collapsed="false">
      <c r="A22" s="13" t="s">
        <v>75</v>
      </c>
      <c r="B22" s="13" t="s">
        <v>70</v>
      </c>
      <c r="C22" s="12" t="n">
        <v>2.07</v>
      </c>
      <c r="D22" s="13" t="n">
        <v>76.7</v>
      </c>
      <c r="E22" s="13" t="n">
        <v>12.64</v>
      </c>
      <c r="F22" s="13" t="n">
        <v>15.3</v>
      </c>
      <c r="G22" s="13" t="n">
        <v>66</v>
      </c>
      <c r="H22" s="13" t="n">
        <v>484</v>
      </c>
      <c r="I22" s="13" t="n">
        <v>196</v>
      </c>
      <c r="J22" s="13" t="n">
        <v>0</v>
      </c>
      <c r="K22" s="13" t="n">
        <v>0.45</v>
      </c>
      <c r="L22" s="13" t="n">
        <v>0.57</v>
      </c>
      <c r="M22" s="13" t="n">
        <v>0.98</v>
      </c>
    </row>
    <row r="23" customFormat="false" ht="15" hidden="false" customHeight="true" outlineLevel="0" collapsed="false">
      <c r="A23" s="13" t="s">
        <v>76</v>
      </c>
      <c r="B23" s="13" t="s">
        <v>68</v>
      </c>
      <c r="C23" s="12" t="n">
        <v>1.5</v>
      </c>
      <c r="D23" s="13" t="n">
        <v>74.7</v>
      </c>
      <c r="E23" s="13" t="n">
        <v>9.41</v>
      </c>
      <c r="F23" s="13" t="n">
        <v>15.2</v>
      </c>
      <c r="G23" s="13" t="n">
        <v>281</v>
      </c>
      <c r="H23" s="13" t="n">
        <v>1035</v>
      </c>
      <c r="I23" s="13" t="n">
        <v>153</v>
      </c>
      <c r="J23" s="13" t="n">
        <v>0</v>
      </c>
      <c r="K23" s="13" t="n">
        <v>0.2</v>
      </c>
      <c r="L23" s="13" t="n">
        <v>0.33</v>
      </c>
      <c r="M23" s="13" t="n">
        <v>1</v>
      </c>
    </row>
    <row r="24" customFormat="false" ht="15" hidden="false" customHeight="true" outlineLevel="0" collapsed="false">
      <c r="A24" s="13" t="s">
        <v>76</v>
      </c>
      <c r="B24" s="13" t="s">
        <v>69</v>
      </c>
      <c r="C24" s="12" t="n">
        <v>1.43</v>
      </c>
      <c r="D24" s="13" t="n">
        <v>86.7</v>
      </c>
      <c r="E24" s="13" t="n">
        <v>8.96</v>
      </c>
      <c r="F24" s="13" t="n">
        <v>19.2</v>
      </c>
      <c r="G24" s="13" t="n">
        <v>281</v>
      </c>
      <c r="H24" s="13" t="n">
        <v>1234</v>
      </c>
      <c r="I24" s="13" t="n">
        <v>155</v>
      </c>
      <c r="J24" s="13" t="n">
        <v>0</v>
      </c>
      <c r="K24" s="13" t="n">
        <v>0.2</v>
      </c>
      <c r="L24" s="13" t="n">
        <v>0.55</v>
      </c>
      <c r="M24" s="13" t="n">
        <v>0.84</v>
      </c>
    </row>
    <row r="25" customFormat="false" ht="15" hidden="false" customHeight="true" outlineLevel="0" collapsed="false">
      <c r="A25" s="13" t="s">
        <v>76</v>
      </c>
      <c r="B25" s="13" t="s">
        <v>70</v>
      </c>
      <c r="C25" s="12" t="n">
        <v>2.13</v>
      </c>
      <c r="D25" s="13" t="n">
        <v>94</v>
      </c>
      <c r="E25" s="13" t="n">
        <v>10.64</v>
      </c>
      <c r="F25" s="13" t="n">
        <v>8.5</v>
      </c>
      <c r="G25" s="13" t="n">
        <v>195</v>
      </c>
      <c r="H25" s="13" t="n">
        <v>960</v>
      </c>
      <c r="I25" s="13" t="n">
        <v>172</v>
      </c>
      <c r="J25" s="13" t="n">
        <v>0</v>
      </c>
      <c r="K25" s="13" t="n">
        <v>0.32</v>
      </c>
      <c r="L25" s="13" t="n">
        <v>0.42</v>
      </c>
      <c r="M25" s="13" t="n">
        <v>0.75</v>
      </c>
    </row>
    <row r="26" customFormat="false" ht="15" hidden="false" customHeight="true" outlineLevel="0" collapsed="false">
      <c r="A26" s="13" t="s">
        <v>77</v>
      </c>
      <c r="B26" s="13" t="s">
        <v>68</v>
      </c>
      <c r="C26" s="12" t="n">
        <v>1.54</v>
      </c>
      <c r="D26" s="13" t="n">
        <v>79.3</v>
      </c>
      <c r="E26" s="13" t="n">
        <v>7.61</v>
      </c>
      <c r="F26" s="13" t="n">
        <v>37.3</v>
      </c>
      <c r="G26" s="13" t="n">
        <v>26</v>
      </c>
      <c r="H26" s="13" t="n">
        <v>0</v>
      </c>
      <c r="I26" s="13" t="n">
        <v>118</v>
      </c>
      <c r="J26" s="13" t="n">
        <v>220.4</v>
      </c>
      <c r="K26" s="13" t="n">
        <v>0.19</v>
      </c>
      <c r="L26" s="13" t="n">
        <v>0.51</v>
      </c>
      <c r="M26" s="13" t="n">
        <v>0.94</v>
      </c>
    </row>
    <row r="27" customFormat="false" ht="15" hidden="false" customHeight="true" outlineLevel="0" collapsed="false">
      <c r="A27" s="13" t="s">
        <v>77</v>
      </c>
      <c r="B27" s="13" t="s">
        <v>69</v>
      </c>
      <c r="C27" s="12" t="n">
        <v>1.5</v>
      </c>
      <c r="D27" s="13" t="n">
        <v>86.7</v>
      </c>
      <c r="E27" s="13" t="n">
        <v>7.81</v>
      </c>
      <c r="F27" s="13" t="n">
        <v>41.3</v>
      </c>
      <c r="G27" s="13" t="n">
        <v>26</v>
      </c>
      <c r="H27" s="13" t="n">
        <v>0</v>
      </c>
      <c r="I27" s="13" t="n">
        <v>127</v>
      </c>
      <c r="J27" s="13" t="n">
        <v>250</v>
      </c>
      <c r="K27" s="13" t="n">
        <v>0.21</v>
      </c>
      <c r="L27" s="13" t="n">
        <v>0.53</v>
      </c>
      <c r="M27" s="13" t="n">
        <v>0.84</v>
      </c>
    </row>
    <row r="28" customFormat="false" ht="15" hidden="false" customHeight="true" outlineLevel="0" collapsed="false">
      <c r="A28" s="13" t="s">
        <v>77</v>
      </c>
      <c r="B28" s="13" t="s">
        <v>70</v>
      </c>
      <c r="C28" s="12" t="n">
        <v>2.66</v>
      </c>
      <c r="D28" s="13" t="n">
        <v>82.7</v>
      </c>
      <c r="E28" s="13" t="n">
        <v>7.55</v>
      </c>
      <c r="F28" s="13" t="n">
        <v>33.2</v>
      </c>
      <c r="G28" s="13" t="n">
        <v>45</v>
      </c>
      <c r="H28" s="13" t="n">
        <v>0</v>
      </c>
      <c r="I28" s="13" t="n">
        <v>112</v>
      </c>
      <c r="J28" s="13" t="n">
        <v>208.2</v>
      </c>
      <c r="K28" s="13" t="n">
        <v>0.15</v>
      </c>
      <c r="L28" s="13" t="n">
        <v>0.51</v>
      </c>
      <c r="M28" s="13" t="n">
        <v>0.9</v>
      </c>
    </row>
    <row r="29" customFormat="false" ht="15" hidden="false" customHeight="true" outlineLevel="0" collapsed="false">
      <c r="A29" s="13" t="s">
        <v>78</v>
      </c>
      <c r="B29" s="13" t="s">
        <v>68</v>
      </c>
      <c r="C29" s="12" t="n">
        <v>1.89</v>
      </c>
      <c r="D29" s="13" t="n">
        <v>80</v>
      </c>
      <c r="E29" s="13" t="n">
        <v>8.41</v>
      </c>
      <c r="F29" s="13" t="n">
        <v>32.5</v>
      </c>
      <c r="G29" s="13" t="n">
        <v>32</v>
      </c>
      <c r="H29" s="13" t="n">
        <v>0</v>
      </c>
      <c r="I29" s="13" t="n">
        <v>138</v>
      </c>
      <c r="J29" s="13" t="n">
        <v>213.8</v>
      </c>
      <c r="K29" s="13" t="n">
        <v>0.12</v>
      </c>
      <c r="L29" s="13" t="n">
        <v>0.44</v>
      </c>
      <c r="M29" s="13" t="n">
        <v>0.93</v>
      </c>
    </row>
    <row r="30" customFormat="false" ht="15" hidden="false" customHeight="true" outlineLevel="0" collapsed="false">
      <c r="A30" s="13" t="s">
        <v>78</v>
      </c>
      <c r="B30" s="13" t="s">
        <v>69</v>
      </c>
      <c r="C30" s="12" t="n">
        <v>1.78</v>
      </c>
      <c r="D30" s="13" t="n">
        <v>84</v>
      </c>
      <c r="E30" s="13" t="n">
        <v>7.47</v>
      </c>
      <c r="F30" s="13" t="n">
        <v>40.5</v>
      </c>
      <c r="G30" s="13" t="n">
        <v>30</v>
      </c>
      <c r="H30" s="13" t="n">
        <v>0</v>
      </c>
      <c r="I30" s="13" t="n">
        <v>114</v>
      </c>
      <c r="J30" s="13" t="n">
        <v>232.4</v>
      </c>
      <c r="K30" s="13" t="n">
        <v>0.13</v>
      </c>
      <c r="L30" s="13" t="n">
        <v>0.53</v>
      </c>
      <c r="M30" s="13" t="n">
        <v>0.88</v>
      </c>
    </row>
    <row r="31" customFormat="false" ht="15" hidden="false" customHeight="true" outlineLevel="0" collapsed="false">
      <c r="A31" s="13" t="s">
        <v>78</v>
      </c>
      <c r="B31" s="13" t="s">
        <v>70</v>
      </c>
      <c r="C31" s="12" t="n">
        <v>3.07</v>
      </c>
      <c r="D31" s="13" t="n">
        <v>79.3</v>
      </c>
      <c r="E31" s="13" t="n">
        <v>8.26</v>
      </c>
      <c r="F31" s="13" t="n">
        <v>27.7</v>
      </c>
      <c r="G31" s="13" t="n">
        <v>52</v>
      </c>
      <c r="H31" s="13" t="n">
        <v>0</v>
      </c>
      <c r="I31" s="13" t="n">
        <v>109</v>
      </c>
      <c r="J31" s="13" t="n">
        <v>188.1</v>
      </c>
      <c r="K31" s="13" t="n">
        <v>0.1</v>
      </c>
      <c r="L31" s="13" t="n">
        <v>0.47</v>
      </c>
      <c r="M31" s="13" t="n">
        <v>0.94</v>
      </c>
    </row>
    <row r="32" customFormat="false" ht="15" hidden="false" customHeight="true" outlineLevel="0" collapsed="false">
      <c r="A32" s="13" t="s">
        <v>79</v>
      </c>
      <c r="B32" s="13" t="s">
        <v>68</v>
      </c>
      <c r="C32" s="12" t="n">
        <v>1.85</v>
      </c>
      <c r="D32" s="13" t="n">
        <v>78</v>
      </c>
      <c r="E32" s="13" t="n">
        <v>15.68</v>
      </c>
      <c r="F32" s="13" t="n">
        <v>14.3</v>
      </c>
      <c r="G32" s="13" t="n">
        <v>31</v>
      </c>
      <c r="H32" s="13" t="n">
        <v>0</v>
      </c>
      <c r="I32" s="13" t="n">
        <v>313</v>
      </c>
      <c r="J32" s="13" t="n">
        <v>0</v>
      </c>
      <c r="K32" s="13" t="n">
        <v>0.27</v>
      </c>
      <c r="L32" s="13" t="n">
        <v>0.32</v>
      </c>
      <c r="M32" s="13" t="n">
        <v>0.96</v>
      </c>
    </row>
    <row r="33" customFormat="false" ht="15" hidden="false" customHeight="true" outlineLevel="0" collapsed="false">
      <c r="A33" s="13" t="s">
        <v>79</v>
      </c>
      <c r="B33" s="13" t="s">
        <v>69</v>
      </c>
      <c r="C33" s="12" t="n">
        <v>1.96</v>
      </c>
      <c r="D33" s="13" t="n">
        <v>83.3</v>
      </c>
      <c r="E33" s="13" t="n">
        <v>15.43</v>
      </c>
      <c r="F33" s="13" t="n">
        <v>17.1</v>
      </c>
      <c r="G33" s="13" t="n">
        <v>33</v>
      </c>
      <c r="H33" s="13" t="n">
        <v>0</v>
      </c>
      <c r="I33" s="13" t="n">
        <v>280</v>
      </c>
      <c r="J33" s="13" t="n">
        <v>0</v>
      </c>
      <c r="K33" s="13" t="n">
        <v>0.21</v>
      </c>
      <c r="L33" s="13" t="n">
        <v>0.41</v>
      </c>
      <c r="M33" s="13" t="n">
        <v>0.89</v>
      </c>
    </row>
    <row r="34" customFormat="false" ht="15" hidden="false" customHeight="true" outlineLevel="0" collapsed="false">
      <c r="A34" s="13" t="s">
        <v>79</v>
      </c>
      <c r="B34" s="13" t="s">
        <v>70</v>
      </c>
      <c r="C34" s="12" t="n">
        <v>2.15</v>
      </c>
      <c r="D34" s="13" t="n">
        <v>72.7</v>
      </c>
      <c r="E34" s="13" t="n">
        <v>16.02</v>
      </c>
      <c r="F34" s="13" t="n">
        <v>9</v>
      </c>
      <c r="G34" s="13" t="n">
        <v>37</v>
      </c>
      <c r="H34" s="13" t="n">
        <v>0</v>
      </c>
      <c r="I34" s="13" t="n">
        <v>241</v>
      </c>
      <c r="J34" s="13" t="n">
        <v>0</v>
      </c>
      <c r="K34" s="13" t="n">
        <v>0.48</v>
      </c>
      <c r="L34" s="13" t="n">
        <v>0.51</v>
      </c>
      <c r="M34" s="13" t="n">
        <v>0.97</v>
      </c>
    </row>
    <row r="35" customFormat="false" ht="15" hidden="false" customHeight="true" outlineLevel="0" collapsed="false">
      <c r="A35" s="13" t="s">
        <v>80</v>
      </c>
      <c r="B35" s="13" t="s">
        <v>68</v>
      </c>
      <c r="C35" s="12" t="n">
        <v>0.73</v>
      </c>
      <c r="D35" s="13" t="n">
        <v>98.7</v>
      </c>
      <c r="E35" s="13" t="n">
        <v>14.22</v>
      </c>
      <c r="F35" s="13" t="n">
        <v>7</v>
      </c>
      <c r="G35" s="13" t="n">
        <v>35</v>
      </c>
      <c r="H35" s="13" t="n">
        <v>0</v>
      </c>
      <c r="I35" s="13" t="n">
        <v>260</v>
      </c>
      <c r="J35" s="13" t="n">
        <v>0</v>
      </c>
      <c r="K35" s="13" t="n">
        <v>0.45</v>
      </c>
      <c r="L35" s="13" t="n">
        <v>0.64</v>
      </c>
      <c r="M35" s="13" t="n">
        <v>0.68</v>
      </c>
    </row>
    <row r="36" customFormat="false" ht="15" hidden="false" customHeight="true" outlineLevel="0" collapsed="false">
      <c r="A36" s="13" t="s">
        <v>80</v>
      </c>
      <c r="B36" s="13" t="s">
        <v>69</v>
      </c>
      <c r="C36" s="12" t="n">
        <v>0.73</v>
      </c>
      <c r="D36" s="13" t="n">
        <v>88</v>
      </c>
      <c r="E36" s="13" t="n">
        <v>15.85</v>
      </c>
      <c r="F36" s="13" t="n">
        <v>7.8</v>
      </c>
      <c r="G36" s="13" t="n">
        <v>35</v>
      </c>
      <c r="H36" s="13" t="n">
        <v>0</v>
      </c>
      <c r="I36" s="13" t="n">
        <v>296</v>
      </c>
      <c r="J36" s="13" t="n">
        <v>0</v>
      </c>
      <c r="K36" s="13" t="n">
        <v>0.41</v>
      </c>
      <c r="L36" s="13" t="n">
        <v>0.65</v>
      </c>
      <c r="M36" s="13" t="n">
        <v>0.83</v>
      </c>
    </row>
    <row r="37" customFormat="false" ht="15" hidden="false" customHeight="true" outlineLevel="0" collapsed="false">
      <c r="A37" s="13" t="s">
        <v>80</v>
      </c>
      <c r="B37" s="13" t="s">
        <v>70</v>
      </c>
      <c r="C37" s="12" t="n">
        <v>1.39</v>
      </c>
      <c r="D37" s="13" t="n">
        <v>83.3</v>
      </c>
      <c r="E37" s="13" t="n">
        <v>14.08</v>
      </c>
      <c r="F37" s="13" t="n">
        <v>4.1</v>
      </c>
      <c r="G37" s="13" t="n">
        <v>35</v>
      </c>
      <c r="H37" s="13" t="n">
        <v>0</v>
      </c>
      <c r="I37" s="13" t="n">
        <v>249</v>
      </c>
      <c r="J37" s="13" t="n">
        <v>0</v>
      </c>
      <c r="K37" s="13" t="n">
        <v>0.45</v>
      </c>
      <c r="L37" s="13" t="n">
        <v>0.49</v>
      </c>
      <c r="M37" s="13" t="n">
        <v>0.89</v>
      </c>
    </row>
    <row r="38" customFormat="false" ht="15" hidden="false" customHeight="true" outlineLevel="0" collapsed="false">
      <c r="A38" s="13" t="s">
        <v>81</v>
      </c>
      <c r="B38" s="13" t="s">
        <v>68</v>
      </c>
      <c r="C38" s="12" t="n">
        <v>0.8</v>
      </c>
      <c r="D38" s="13" t="n">
        <v>76.7</v>
      </c>
      <c r="E38" s="13" t="n">
        <v>18.07</v>
      </c>
      <c r="F38" s="13" t="n">
        <v>8.5</v>
      </c>
      <c r="G38" s="13" t="n">
        <v>16</v>
      </c>
      <c r="H38" s="13" t="n">
        <v>0</v>
      </c>
      <c r="I38" s="13" t="n">
        <v>355</v>
      </c>
      <c r="J38" s="13" t="n">
        <v>0</v>
      </c>
      <c r="K38" s="13" t="n">
        <v>0.59</v>
      </c>
      <c r="L38" s="13" t="n">
        <v>0.53</v>
      </c>
      <c r="M38" s="13" t="n">
        <v>0.98</v>
      </c>
    </row>
    <row r="39" customFormat="false" ht="15" hidden="false" customHeight="true" outlineLevel="0" collapsed="false">
      <c r="A39" s="13" t="s">
        <v>81</v>
      </c>
      <c r="B39" s="13" t="s">
        <v>69</v>
      </c>
      <c r="C39" s="12" t="n">
        <v>0.77</v>
      </c>
      <c r="D39" s="13" t="n">
        <v>94.7</v>
      </c>
      <c r="E39" s="13" t="n">
        <v>17.06</v>
      </c>
      <c r="F39" s="13" t="n">
        <v>9.3</v>
      </c>
      <c r="G39" s="13" t="n">
        <v>16</v>
      </c>
      <c r="H39" s="13" t="n">
        <v>0</v>
      </c>
      <c r="I39" s="13" t="n">
        <v>322</v>
      </c>
      <c r="J39" s="13" t="n">
        <v>0</v>
      </c>
      <c r="K39" s="13" t="n">
        <v>0.58</v>
      </c>
      <c r="L39" s="13" t="n">
        <v>0.64</v>
      </c>
      <c r="M39" s="13" t="n">
        <v>0.74</v>
      </c>
    </row>
    <row r="40" customFormat="false" ht="15" hidden="false" customHeight="true" outlineLevel="0" collapsed="false">
      <c r="A40" s="13" t="s">
        <v>81</v>
      </c>
      <c r="B40" s="13" t="s">
        <v>70</v>
      </c>
      <c r="C40" s="12" t="n">
        <v>1.5</v>
      </c>
      <c r="D40" s="13" t="n">
        <v>69.3</v>
      </c>
      <c r="E40" s="13" t="n">
        <v>18.22</v>
      </c>
      <c r="F40" s="13" t="n">
        <v>5.9</v>
      </c>
      <c r="G40" s="13" t="n">
        <v>26</v>
      </c>
      <c r="H40" s="13" t="n">
        <v>0</v>
      </c>
      <c r="I40" s="13" t="n">
        <v>343</v>
      </c>
      <c r="J40" s="13" t="n">
        <v>0</v>
      </c>
      <c r="K40" s="13" t="n">
        <v>0.55</v>
      </c>
      <c r="L40" s="13" t="n">
        <v>0.49</v>
      </c>
      <c r="M40" s="13" t="n">
        <v>0.92</v>
      </c>
    </row>
    <row r="41" customFormat="false" ht="15" hidden="false" customHeight="true" outlineLevel="0" collapsed="false">
      <c r="A41" s="13" t="s">
        <v>82</v>
      </c>
      <c r="B41" s="13" t="s">
        <v>68</v>
      </c>
      <c r="C41" s="12" t="n">
        <v>1.63</v>
      </c>
      <c r="D41" s="13" t="n">
        <v>78.7</v>
      </c>
      <c r="E41" s="13" t="n">
        <v>7.41</v>
      </c>
      <c r="F41" s="13" t="n">
        <v>28.7</v>
      </c>
      <c r="G41" s="13" t="n">
        <v>68</v>
      </c>
      <c r="H41" s="13" t="n">
        <v>503</v>
      </c>
      <c r="I41" s="13" t="n">
        <v>106</v>
      </c>
      <c r="J41" s="13" t="n">
        <v>88.2</v>
      </c>
      <c r="K41" s="13" t="n">
        <v>0.22</v>
      </c>
      <c r="L41" s="13" t="n">
        <v>0.65</v>
      </c>
      <c r="M41" s="13" t="n">
        <v>0.95</v>
      </c>
    </row>
    <row r="42" customFormat="false" ht="15" hidden="false" customHeight="true" outlineLevel="0" collapsed="false">
      <c r="A42" s="13" t="s">
        <v>82</v>
      </c>
      <c r="B42" s="13" t="s">
        <v>69</v>
      </c>
      <c r="C42" s="12" t="n">
        <v>1.61</v>
      </c>
      <c r="D42" s="13" t="n">
        <v>86</v>
      </c>
      <c r="E42" s="13" t="n">
        <v>8.23</v>
      </c>
      <c r="F42" s="13" t="n">
        <v>31.7</v>
      </c>
      <c r="G42" s="13" t="n">
        <v>68</v>
      </c>
      <c r="H42" s="13" t="n">
        <v>527</v>
      </c>
      <c r="I42" s="13" t="n">
        <v>137</v>
      </c>
      <c r="J42" s="13" t="n">
        <v>106.7</v>
      </c>
      <c r="K42" s="13" t="n">
        <v>0.24</v>
      </c>
      <c r="L42" s="13" t="n">
        <v>0.69</v>
      </c>
      <c r="M42" s="13" t="n">
        <v>0.85</v>
      </c>
    </row>
    <row r="43" customFormat="false" ht="15" hidden="false" customHeight="true" outlineLevel="0" collapsed="false">
      <c r="A43" s="13" t="s">
        <v>82</v>
      </c>
      <c r="B43" s="13" t="s">
        <v>70</v>
      </c>
      <c r="C43" s="12" t="n">
        <v>2.63</v>
      </c>
      <c r="D43" s="13" t="n">
        <v>72</v>
      </c>
      <c r="E43" s="13" t="n">
        <v>8.52</v>
      </c>
      <c r="F43" s="13" t="n">
        <v>19.6</v>
      </c>
      <c r="G43" s="13" t="n">
        <v>80</v>
      </c>
      <c r="H43" s="13" t="n">
        <v>425</v>
      </c>
      <c r="I43" s="13" t="n">
        <v>119</v>
      </c>
      <c r="J43" s="13" t="n">
        <v>87.7</v>
      </c>
      <c r="K43" s="13" t="n">
        <v>0.12</v>
      </c>
      <c r="L43" s="13" t="n">
        <v>0.61</v>
      </c>
      <c r="M43" s="13" t="n">
        <v>0.96</v>
      </c>
    </row>
    <row r="44" customFormat="false" ht="15" hidden="false" customHeight="true" outlineLevel="0" collapsed="false">
      <c r="A44" s="13" t="s">
        <v>83</v>
      </c>
      <c r="B44" s="13" t="s">
        <v>68</v>
      </c>
      <c r="C44" s="12" t="n">
        <v>1.61</v>
      </c>
      <c r="D44" s="13" t="n">
        <v>73.3</v>
      </c>
      <c r="E44" s="13" t="n">
        <v>10.73</v>
      </c>
      <c r="F44" s="13" t="n">
        <v>15.1</v>
      </c>
      <c r="G44" s="13" t="n">
        <v>237</v>
      </c>
      <c r="H44" s="13" t="n">
        <v>1129</v>
      </c>
      <c r="I44" s="13" t="n">
        <v>264</v>
      </c>
      <c r="J44" s="13" t="n">
        <v>0</v>
      </c>
      <c r="K44" s="13" t="n">
        <v>0.22</v>
      </c>
      <c r="L44" s="13" t="n">
        <v>0.27</v>
      </c>
      <c r="M44" s="13" t="n">
        <v>0.98</v>
      </c>
    </row>
    <row r="45" customFormat="false" ht="15" hidden="false" customHeight="true" outlineLevel="0" collapsed="false">
      <c r="A45" s="13" t="s">
        <v>83</v>
      </c>
      <c r="B45" s="13" t="s">
        <v>69</v>
      </c>
      <c r="C45" s="12" t="n">
        <v>1.56</v>
      </c>
      <c r="D45" s="13" t="n">
        <v>96</v>
      </c>
      <c r="E45" s="13" t="n">
        <v>10.14</v>
      </c>
      <c r="F45" s="13" t="n">
        <v>18</v>
      </c>
      <c r="G45" s="13" t="n">
        <v>237</v>
      </c>
      <c r="H45" s="13" t="n">
        <v>1214</v>
      </c>
      <c r="I45" s="13" t="n">
        <v>274</v>
      </c>
      <c r="J45" s="13" t="n">
        <v>0</v>
      </c>
      <c r="K45" s="13" t="n">
        <v>0.2</v>
      </c>
      <c r="L45" s="13" t="n">
        <v>0.35</v>
      </c>
      <c r="M45" s="13" t="n">
        <v>0.72</v>
      </c>
    </row>
    <row r="46" customFormat="false" ht="15" hidden="false" customHeight="true" outlineLevel="0" collapsed="false">
      <c r="A46" s="13" t="s">
        <v>83</v>
      </c>
      <c r="B46" s="13" t="s">
        <v>70</v>
      </c>
      <c r="C46" s="12" t="n">
        <v>2.2</v>
      </c>
      <c r="D46" s="13" t="n">
        <v>80.7</v>
      </c>
      <c r="E46" s="13" t="n">
        <v>12.39</v>
      </c>
      <c r="F46" s="13" t="n">
        <v>9</v>
      </c>
      <c r="G46" s="13" t="n">
        <v>145</v>
      </c>
      <c r="H46" s="13" t="n">
        <v>872</v>
      </c>
      <c r="I46" s="13" t="n">
        <v>270</v>
      </c>
      <c r="J46" s="13" t="n">
        <v>0</v>
      </c>
      <c r="K46" s="13" t="n">
        <v>0.31</v>
      </c>
      <c r="L46" s="13" t="n">
        <v>0.39</v>
      </c>
      <c r="M46" s="13" t="n">
        <v>0.92</v>
      </c>
    </row>
    <row r="49" customFormat="false" ht="15" hidden="false" customHeight="true" outlineLevel="0" collapsed="false">
      <c r="A49" s="2" t="s">
        <v>84</v>
      </c>
    </row>
    <row r="50" customFormat="false" ht="15" hidden="false" customHeight="true" outlineLevel="0" collapsed="false">
      <c r="A50" s="7" t="s">
        <v>85</v>
      </c>
    </row>
    <row r="51" customFormat="false" ht="15" hidden="false" customHeight="true" outlineLevel="0" collapsed="false">
      <c r="B51" s="14" t="s">
        <v>68</v>
      </c>
      <c r="C51" s="14" t="s">
        <v>69</v>
      </c>
      <c r="D51" s="14" t="s">
        <v>70</v>
      </c>
    </row>
    <row r="52" customFormat="false" ht="15" hidden="false" customHeight="true" outlineLevel="0" collapsed="false">
      <c r="A52" s="15" t="s">
        <v>67</v>
      </c>
      <c r="B52" s="16" t="n">
        <f aca="false">IFERROR(SUMIFS('Team matrix'!$C$5:$C$46,'Team matrix'!$A$5:$A$46,"control  plain damage",'Team matrix'!$B$5:$B$46,"reference"),"")</f>
        <v>0.95</v>
      </c>
      <c r="C52" s="16" t="n">
        <f aca="false">IFERROR(SUMIFS('Team matrix'!$C$5:$C$46,'Team matrix'!$A$5:$A$46,"control  plain damage",'Team matrix'!$B$5:$B$46,"swarm"),"")</f>
        <v>0.91</v>
      </c>
      <c r="D52" s="16" t="n">
        <f aca="false">IFERROR(SUMIFS('Team matrix'!$C$5:$C$46,'Team matrix'!$A$5:$A$46,"control  plain damage",'Team matrix'!$B$5:$B$46,"elite"),"")</f>
        <v>1.61</v>
      </c>
    </row>
    <row r="53" customFormat="false" ht="15" hidden="false" customHeight="true" outlineLevel="0" collapsed="false">
      <c r="A53" s="15" t="s">
        <v>71</v>
      </c>
      <c r="B53" s="16" t="n">
        <f aca="false">IFERROR(SUMIFS('Team matrix'!$C$5:$C$46,'Team matrix'!$A$5:$A$46,"control  all AoE",'Team matrix'!$B$5:$B$46,"reference"),"")</f>
        <v>1.67</v>
      </c>
      <c r="C53" s="16" t="n">
        <f aca="false">IFERROR(SUMIFS('Team matrix'!$C$5:$C$46,'Team matrix'!$A$5:$A$46,"control  all AoE",'Team matrix'!$B$5:$B$46,"swarm"),"")</f>
        <v>1.85</v>
      </c>
      <c r="D53" s="16" t="n">
        <f aca="false">IFERROR(SUMIFS('Team matrix'!$C$5:$C$46,'Team matrix'!$A$5:$A$46,"control  all AoE",'Team matrix'!$B$5:$B$46,"elite"),"")</f>
        <v>2.13</v>
      </c>
    </row>
    <row r="54" customFormat="false" ht="15" hidden="false" customHeight="true" outlineLevel="0" collapsed="false">
      <c r="A54" s="15" t="s">
        <v>72</v>
      </c>
      <c r="B54" s="16" t="n">
        <f aca="false">IFERROR(SUMIFS('Team matrix'!$C$5:$C$46,'Team matrix'!$A$5:$A$46,"heavy dot  1 type  big ticks",'Team matrix'!$B$5:$B$46,"reference"),"")</f>
        <v>2</v>
      </c>
      <c r="C54" s="16" t="n">
        <f aca="false">IFERROR(SUMIFS('Team matrix'!$C$5:$C$46,'Team matrix'!$A$5:$A$46,"heavy dot  1 type  big ticks",'Team matrix'!$B$5:$B$46,"swarm"),"")</f>
        <v>1.91</v>
      </c>
      <c r="D54" s="16" t="n">
        <f aca="false">IFERROR(SUMIFS('Team matrix'!$C$5:$C$46,'Team matrix'!$A$5:$A$46,"heavy dot  1 type  big ticks",'Team matrix'!$B$5:$B$46,"elite"),"")</f>
        <v>2.92</v>
      </c>
    </row>
    <row r="55" customFormat="false" ht="15" hidden="false" customHeight="true" outlineLevel="0" collapsed="false">
      <c r="A55" s="15" t="s">
        <v>73</v>
      </c>
      <c r="B55" s="16" t="n">
        <f aca="false">IFERROR(SUMIFS('Team matrix'!$C$5:$C$46,'Team matrix'!$A$5:$A$46,"heavy dot  no support",'Team matrix'!$B$5:$B$46,"reference"),"")</f>
        <v>1.72</v>
      </c>
      <c r="C55" s="16" t="n">
        <f aca="false">IFERROR(SUMIFS('Team matrix'!$C$5:$C$46,'Team matrix'!$A$5:$A$46,"heavy dot  no support",'Team matrix'!$B$5:$B$46,"swarm"),"")</f>
        <v>1.72</v>
      </c>
      <c r="D55" s="16" t="n">
        <f aca="false">IFERROR(SUMIFS('Team matrix'!$C$5:$C$46,'Team matrix'!$A$5:$A$46,"heavy dot  no support",'Team matrix'!$B$5:$B$46,"elite"),"")</f>
        <v>2.63</v>
      </c>
    </row>
    <row r="56" customFormat="false" ht="15" hidden="false" customHeight="true" outlineLevel="0" collapsed="false">
      <c r="A56" s="15" t="s">
        <v>74</v>
      </c>
      <c r="B56" s="16" t="n">
        <f aca="false">IFERROR(SUMIFS('Team matrix'!$C$5:$C$46,'Team matrix'!$A$5:$A$46,"wide dot   4 types  many hits",'Team matrix'!$B$5:$B$46,"reference"),"")</f>
        <v>1.54</v>
      </c>
      <c r="C56" s="16" t="n">
        <f aca="false">IFERROR(SUMIFS('Team matrix'!$C$5:$C$46,'Team matrix'!$A$5:$A$46,"wide dot   4 types  many hits",'Team matrix'!$B$5:$B$46,"swarm"),"")</f>
        <v>1.43</v>
      </c>
      <c r="D56" s="16" t="n">
        <f aca="false">IFERROR(SUMIFS('Team matrix'!$C$5:$C$46,'Team matrix'!$A$5:$A$46,"wide dot   4 types  many hits",'Team matrix'!$B$5:$B$46,"elite"),"")</f>
        <v>2.26</v>
      </c>
    </row>
    <row r="57" customFormat="false" ht="15" hidden="false" customHeight="true" outlineLevel="0" collapsed="false">
      <c r="A57" s="15" t="s">
        <v>75</v>
      </c>
      <c r="B57" s="16" t="n">
        <f aca="false">IFERROR(SUMIFS('Team matrix'!$C$5:$C$46,'Team matrix'!$A$5:$A$46,"wide dot   4 types  no support",'Team matrix'!$B$5:$B$46,"reference"),"")</f>
        <v>1.37</v>
      </c>
      <c r="C57" s="16" t="n">
        <f aca="false">IFERROR(SUMIFS('Team matrix'!$C$5:$C$46,'Team matrix'!$A$5:$A$46,"wide dot   4 types  no support",'Team matrix'!$B$5:$B$46,"swarm"),"")</f>
        <v>1.26</v>
      </c>
      <c r="D57" s="16" t="n">
        <f aca="false">IFERROR(SUMIFS('Team matrix'!$C$5:$C$46,'Team matrix'!$A$5:$A$46,"wide dot   4 types  no support",'Team matrix'!$B$5:$B$46,"elite"),"")</f>
        <v>2.07</v>
      </c>
    </row>
    <row r="58" customFormat="false" ht="15" hidden="false" customHeight="true" outlineLevel="0" collapsed="false">
      <c r="A58" s="15" t="s">
        <v>76</v>
      </c>
      <c r="B58" s="16" t="n">
        <f aca="false">IFERROR(SUMIFS('Team matrix'!$C$5:$C$46,'Team matrix'!$A$5:$A$46,"detonator  stacks then burst",'Team matrix'!$B$5:$B$46,"reference"),"")</f>
        <v>1.5</v>
      </c>
      <c r="C58" s="16" t="n">
        <f aca="false">IFERROR(SUMIFS('Team matrix'!$C$5:$C$46,'Team matrix'!$A$5:$A$46,"detonator  stacks then burst",'Team matrix'!$B$5:$B$46,"swarm"),"")</f>
        <v>1.43</v>
      </c>
      <c r="D58" s="16" t="n">
        <f aca="false">IFERROR(SUMIFS('Team matrix'!$C$5:$C$46,'Team matrix'!$A$5:$A$46,"detonator  stacks then burst",'Team matrix'!$B$5:$B$46,"elite"),"")</f>
        <v>2.13</v>
      </c>
    </row>
    <row r="59" customFormat="false" ht="15" hidden="false" customHeight="true" outlineLevel="0" collapsed="false">
      <c r="A59" s="15" t="s">
        <v>77</v>
      </c>
      <c r="B59" s="16" t="n">
        <f aca="false">IFERROR(SUMIFS('Team matrix'!$C$5:$C$46,'Team matrix'!$A$5:$A$46,"chain      follow-up cascade",'Team matrix'!$B$5:$B$46,"reference"),"")</f>
        <v>1.54</v>
      </c>
      <c r="C59" s="16" t="n">
        <f aca="false">IFERROR(SUMIFS('Team matrix'!$C$5:$C$46,'Team matrix'!$A$5:$A$46,"chain      follow-up cascade",'Team matrix'!$B$5:$B$46,"swarm"),"")</f>
        <v>1.5</v>
      </c>
      <c r="D59" s="16" t="n">
        <f aca="false">IFERROR(SUMIFS('Team matrix'!$C$5:$C$46,'Team matrix'!$A$5:$A$46,"chain      follow-up cascade",'Team matrix'!$B$5:$B$46,"elite"),"")</f>
        <v>2.66</v>
      </c>
    </row>
    <row r="60" customFormat="false" ht="15" hidden="false" customHeight="true" outlineLevel="0" collapsed="false">
      <c r="A60" s="15" t="s">
        <v>78</v>
      </c>
      <c r="B60" s="16" t="n">
        <f aca="false">IFERROR(SUMIFS('Team matrix'!$C$5:$C$46,'Team matrix'!$A$5:$A$46,"chain      cascade  same target",'Team matrix'!$B$5:$B$46,"reference"),"")</f>
        <v>1.89</v>
      </c>
      <c r="C60" s="16" t="n">
        <f aca="false">IFERROR(SUMIFS('Team matrix'!$C$5:$C$46,'Team matrix'!$A$5:$A$46,"chain      cascade  same target",'Team matrix'!$B$5:$B$46,"swarm"),"")</f>
        <v>1.78</v>
      </c>
      <c r="D60" s="16" t="n">
        <f aca="false">IFERROR(SUMIFS('Team matrix'!$C$5:$C$46,'Team matrix'!$A$5:$A$46,"chain      cascade  same target",'Team matrix'!$B$5:$B$46,"elite"),"")</f>
        <v>3.07</v>
      </c>
    </row>
    <row r="61" customFormat="false" ht="15" hidden="false" customHeight="true" outlineLevel="0" collapsed="false">
      <c r="A61" s="15" t="s">
        <v>79</v>
      </c>
      <c r="B61" s="16" t="n">
        <f aca="false">IFERROR(SUMIFS('Team matrix'!$C$5:$C$46,'Team matrix'!$A$5:$A$46,"break      shred and vulnerable",'Team matrix'!$B$5:$B$46,"reference"),"")</f>
        <v>1.85</v>
      </c>
      <c r="C61" s="16" t="n">
        <f aca="false">IFERROR(SUMIFS('Team matrix'!$C$5:$C$46,'Team matrix'!$A$5:$A$46,"break      shred and vulnerable",'Team matrix'!$B$5:$B$46,"swarm"),"")</f>
        <v>1.96</v>
      </c>
      <c r="D61" s="16" t="n">
        <f aca="false">IFERROR(SUMIFS('Team matrix'!$C$5:$C$46,'Team matrix'!$A$5:$A$46,"break      shred and vulnerable",'Team matrix'!$B$5:$B$46,"elite"),"")</f>
        <v>2.15</v>
      </c>
    </row>
    <row r="62" customFormat="false" ht="15" hidden="false" customHeight="true" outlineLevel="0" collapsed="false">
      <c r="A62" s="15" t="s">
        <v>80</v>
      </c>
      <c r="B62" s="16" t="n">
        <f aca="false">IFERROR(SUMIFS('Team matrix'!$C$5:$C$46,'Team matrix'!$A$5:$A$46,"tall       fewer  upgraded",'Team matrix'!$B$5:$B$46,"reference"),"")</f>
        <v>0.73</v>
      </c>
      <c r="C62" s="16" t="n">
        <f aca="false">IFERROR(SUMIFS('Team matrix'!$C$5:$C$46,'Team matrix'!$A$5:$A$46,"tall       fewer  upgraded",'Team matrix'!$B$5:$B$46,"swarm"),"")</f>
        <v>0.73</v>
      </c>
      <c r="D62" s="16" t="n">
        <f aca="false">IFERROR(SUMIFS('Team matrix'!$C$5:$C$46,'Team matrix'!$A$5:$A$46,"tall       fewer  upgraded",'Team matrix'!$B$5:$B$46,"elite"),"")</f>
        <v>1.39</v>
      </c>
    </row>
    <row r="63" customFormat="false" ht="15" hidden="false" customHeight="true" outlineLevel="0" collapsed="false">
      <c r="A63" s="15" t="s">
        <v>81</v>
      </c>
      <c r="B63" s="16" t="n">
        <f aca="false">IFERROR(SUMIFS('Team matrix'!$C$5:$C$46,'Team matrix'!$A$5:$A$46,"wide       more  unupgraded",'Team matrix'!$B$5:$B$46,"reference"),"")</f>
        <v>0.8</v>
      </c>
      <c r="C63" s="16" t="n">
        <f aca="false">IFERROR(SUMIFS('Team matrix'!$C$5:$C$46,'Team matrix'!$A$5:$A$46,"wide       more  unupgraded",'Team matrix'!$B$5:$B$46,"swarm"),"")</f>
        <v>0.77</v>
      </c>
      <c r="D63" s="16" t="n">
        <f aca="false">IFERROR(SUMIFS('Team matrix'!$C$5:$C$46,'Team matrix'!$A$5:$A$46,"wide       more  unupgraded",'Team matrix'!$B$5:$B$46,"elite"),"")</f>
        <v>1.5</v>
      </c>
    </row>
    <row r="64" customFormat="false" ht="15" hidden="false" customHeight="true" outlineLevel="0" collapsed="false">
      <c r="A64" s="15" t="s">
        <v>82</v>
      </c>
      <c r="B64" s="16" t="n">
        <f aca="false">IFERROR(SUMIFS('Team matrix'!$C$5:$C$46,'Team matrix'!$A$5:$A$46,"hybrid     dots + cascade",'Team matrix'!$B$5:$B$46,"reference"),"")</f>
        <v>1.63</v>
      </c>
      <c r="C64" s="16" t="n">
        <f aca="false">IFERROR(SUMIFS('Team matrix'!$C$5:$C$46,'Team matrix'!$A$5:$A$46,"hybrid     dots + cascade",'Team matrix'!$B$5:$B$46,"swarm"),"")</f>
        <v>1.61</v>
      </c>
      <c r="D64" s="16" t="n">
        <f aca="false">IFERROR(SUMIFS('Team matrix'!$C$5:$C$46,'Team matrix'!$A$5:$A$46,"hybrid     dots + cascade",'Team matrix'!$B$5:$B$46,"elite"),"")</f>
        <v>2.63</v>
      </c>
    </row>
    <row r="65" customFormat="false" ht="15" hidden="false" customHeight="true" outlineLevel="0" collapsed="false">
      <c r="A65" s="15" t="s">
        <v>83</v>
      </c>
      <c r="B65" s="16" t="n">
        <f aca="false">IFERROR(SUMIFS('Team matrix'!$C$5:$C$46,'Team matrix'!$A$5:$A$46,"hybrid     dots + detonator",'Team matrix'!$B$5:$B$46,"reference"),"")</f>
        <v>1.61</v>
      </c>
      <c r="C65" s="16" t="n">
        <f aca="false">IFERROR(SUMIFS('Team matrix'!$C$5:$C$46,'Team matrix'!$A$5:$A$46,"hybrid     dots + detonator",'Team matrix'!$B$5:$B$46,"swarm"),"")</f>
        <v>1.56</v>
      </c>
      <c r="D65" s="16" t="n">
        <f aca="false">IFERROR(SUMIFS('Team matrix'!$C$5:$C$46,'Team matrix'!$A$5:$A$46,"hybrid     dots + detonator",'Team matrix'!$B$5:$B$46,"elite"),"")</f>
        <v>2.2</v>
      </c>
    </row>
    <row r="68" customFormat="false" ht="15" hidden="false" customHeight="true" outlineLevel="0" collapsed="false">
      <c r="A68" s="2" t="s">
        <v>86</v>
      </c>
    </row>
    <row r="69" customFormat="false" ht="15" hidden="false" customHeight="true" outlineLevel="0" collapsed="false">
      <c r="A69" s="7" t="s">
        <v>87</v>
      </c>
    </row>
    <row r="70" customFormat="false" ht="15" hidden="false" customHeight="true" outlineLevel="0" collapsed="false">
      <c r="B70" s="14" t="s">
        <v>68</v>
      </c>
      <c r="C70" s="14" t="s">
        <v>69</v>
      </c>
      <c r="D70" s="14" t="s">
        <v>70</v>
      </c>
    </row>
    <row r="71" customFormat="false" ht="15" hidden="false" customHeight="true" outlineLevel="0" collapsed="false">
      <c r="A71" s="15" t="s">
        <v>67</v>
      </c>
      <c r="B71" s="16" t="n">
        <f aca="false">IFERROR(SUMIFS('Team matrix'!$L$5:$L$46,'Team matrix'!$A$5:$A$46,"control  plain damage",'Team matrix'!$B$5:$B$46,"reference"),"")</f>
        <v>0.48</v>
      </c>
      <c r="C71" s="16" t="n">
        <f aca="false">IFERROR(SUMIFS('Team matrix'!$L$5:$L$46,'Team matrix'!$A$5:$A$46,"control  plain damage",'Team matrix'!$B$5:$B$46,"swarm"),"")</f>
        <v>0.58</v>
      </c>
      <c r="D71" s="16" t="n">
        <f aca="false">IFERROR(SUMIFS('Team matrix'!$L$5:$L$46,'Team matrix'!$A$5:$A$46,"control  plain damage",'Team matrix'!$B$5:$B$46,"elite"),"")</f>
        <v>0.55</v>
      </c>
    </row>
    <row r="72" customFormat="false" ht="15" hidden="false" customHeight="true" outlineLevel="0" collapsed="false">
      <c r="A72" s="15" t="s">
        <v>71</v>
      </c>
      <c r="B72" s="16" t="n">
        <f aca="false">IFERROR(SUMIFS('Team matrix'!$L$5:$L$46,'Team matrix'!$A$5:$A$46,"control  all AoE",'Team matrix'!$B$5:$B$46,"reference"),"")</f>
        <v>0.28</v>
      </c>
      <c r="C72" s="16" t="n">
        <f aca="false">IFERROR(SUMIFS('Team matrix'!$L$5:$L$46,'Team matrix'!$A$5:$A$46,"control  all AoE",'Team matrix'!$B$5:$B$46,"swarm"),"")</f>
        <v>0.4</v>
      </c>
      <c r="D72" s="16" t="n">
        <f aca="false">IFERROR(SUMIFS('Team matrix'!$L$5:$L$46,'Team matrix'!$A$5:$A$46,"control  all AoE",'Team matrix'!$B$5:$B$46,"elite"),"")</f>
        <v>0.61</v>
      </c>
    </row>
    <row r="73" customFormat="false" ht="15" hidden="false" customHeight="true" outlineLevel="0" collapsed="false">
      <c r="A73" s="15" t="s">
        <v>72</v>
      </c>
      <c r="B73" s="16" t="n">
        <f aca="false">IFERROR(SUMIFS('Team matrix'!$L$5:$L$46,'Team matrix'!$A$5:$A$46,"heavy dot  1 type  big ticks",'Team matrix'!$B$5:$B$46,"reference"),"")</f>
        <v>1.09</v>
      </c>
      <c r="C73" s="16" t="n">
        <f aca="false">IFERROR(SUMIFS('Team matrix'!$L$5:$L$46,'Team matrix'!$A$5:$A$46,"heavy dot  1 type  big ticks",'Team matrix'!$B$5:$B$46,"swarm"),"")</f>
        <v>0.54</v>
      </c>
      <c r="D73" s="16" t="n">
        <f aca="false">IFERROR(SUMIFS('Team matrix'!$L$5:$L$46,'Team matrix'!$A$5:$A$46,"heavy dot  1 type  big ticks",'Team matrix'!$B$5:$B$46,"elite"),"")</f>
        <v>0.91</v>
      </c>
    </row>
    <row r="74" customFormat="false" ht="15" hidden="false" customHeight="true" outlineLevel="0" collapsed="false">
      <c r="A74" s="15" t="s">
        <v>73</v>
      </c>
      <c r="B74" s="16" t="n">
        <f aca="false">IFERROR(SUMIFS('Team matrix'!$L$5:$L$46,'Team matrix'!$A$5:$A$46,"heavy dot  no support",'Team matrix'!$B$5:$B$46,"reference"),"")</f>
        <v>1</v>
      </c>
      <c r="C74" s="16" t="n">
        <f aca="false">IFERROR(SUMIFS('Team matrix'!$L$5:$L$46,'Team matrix'!$A$5:$A$46,"heavy dot  no support",'Team matrix'!$B$5:$B$46,"swarm"),"")</f>
        <v>0.75</v>
      </c>
      <c r="D74" s="16" t="n">
        <f aca="false">IFERROR(SUMIFS('Team matrix'!$L$5:$L$46,'Team matrix'!$A$5:$A$46,"heavy dot  no support",'Team matrix'!$B$5:$B$46,"elite"),"")</f>
        <v>0.94</v>
      </c>
    </row>
    <row r="75" customFormat="false" ht="15" hidden="false" customHeight="true" outlineLevel="0" collapsed="false">
      <c r="A75" s="15" t="s">
        <v>74</v>
      </c>
      <c r="B75" s="16" t="n">
        <f aca="false">IFERROR(SUMIFS('Team matrix'!$L$5:$L$46,'Team matrix'!$A$5:$A$46,"wide dot   4 types  many hits",'Team matrix'!$B$5:$B$46,"reference"),"")</f>
        <v>0.54</v>
      </c>
      <c r="C75" s="16" t="n">
        <f aca="false">IFERROR(SUMIFS('Team matrix'!$L$5:$L$46,'Team matrix'!$A$5:$A$46,"wide dot   4 types  many hits",'Team matrix'!$B$5:$B$46,"swarm"),"")</f>
        <v>0.69</v>
      </c>
      <c r="D75" s="16" t="n">
        <f aca="false">IFERROR(SUMIFS('Team matrix'!$L$5:$L$46,'Team matrix'!$A$5:$A$46,"wide dot   4 types  many hits",'Team matrix'!$B$5:$B$46,"elite"),"")</f>
        <v>0.61</v>
      </c>
    </row>
    <row r="76" customFormat="false" ht="15" hidden="false" customHeight="true" outlineLevel="0" collapsed="false">
      <c r="A76" s="15" t="s">
        <v>75</v>
      </c>
      <c r="B76" s="16" t="n">
        <f aca="false">IFERROR(SUMIFS('Team matrix'!$L$5:$L$46,'Team matrix'!$A$5:$A$46,"wide dot   4 types  no support",'Team matrix'!$B$5:$B$46,"reference"),"")</f>
        <v>0.58</v>
      </c>
      <c r="C76" s="16" t="n">
        <f aca="false">IFERROR(SUMIFS('Team matrix'!$L$5:$L$46,'Team matrix'!$A$5:$A$46,"wide dot   4 types  no support",'Team matrix'!$B$5:$B$46,"swarm"),"")</f>
        <v>0.63</v>
      </c>
      <c r="D76" s="16" t="n">
        <f aca="false">IFERROR(SUMIFS('Team matrix'!$L$5:$L$46,'Team matrix'!$A$5:$A$46,"wide dot   4 types  no support",'Team matrix'!$B$5:$B$46,"elite"),"")</f>
        <v>0.57</v>
      </c>
    </row>
    <row r="77" customFormat="false" ht="15" hidden="false" customHeight="true" outlineLevel="0" collapsed="false">
      <c r="A77" s="15" t="s">
        <v>76</v>
      </c>
      <c r="B77" s="16" t="n">
        <f aca="false">IFERROR(SUMIFS('Team matrix'!$L$5:$L$46,'Team matrix'!$A$5:$A$46,"detonator  stacks then burst",'Team matrix'!$B$5:$B$46,"reference"),"")</f>
        <v>0.33</v>
      </c>
      <c r="C77" s="16" t="n">
        <f aca="false">IFERROR(SUMIFS('Team matrix'!$L$5:$L$46,'Team matrix'!$A$5:$A$46,"detonator  stacks then burst",'Team matrix'!$B$5:$B$46,"swarm"),"")</f>
        <v>0.55</v>
      </c>
      <c r="D77" s="16" t="n">
        <f aca="false">IFERROR(SUMIFS('Team matrix'!$L$5:$L$46,'Team matrix'!$A$5:$A$46,"detonator  stacks then burst",'Team matrix'!$B$5:$B$46,"elite"),"")</f>
        <v>0.42</v>
      </c>
    </row>
    <row r="78" customFormat="false" ht="15" hidden="false" customHeight="true" outlineLevel="0" collapsed="false">
      <c r="A78" s="15" t="s">
        <v>77</v>
      </c>
      <c r="B78" s="16" t="n">
        <f aca="false">IFERROR(SUMIFS('Team matrix'!$L$5:$L$46,'Team matrix'!$A$5:$A$46,"chain      follow-up cascade",'Team matrix'!$B$5:$B$46,"reference"),"")</f>
        <v>0.51</v>
      </c>
      <c r="C78" s="16" t="n">
        <f aca="false">IFERROR(SUMIFS('Team matrix'!$L$5:$L$46,'Team matrix'!$A$5:$A$46,"chain      follow-up cascade",'Team matrix'!$B$5:$B$46,"swarm"),"")</f>
        <v>0.53</v>
      </c>
      <c r="D78" s="16" t="n">
        <f aca="false">IFERROR(SUMIFS('Team matrix'!$L$5:$L$46,'Team matrix'!$A$5:$A$46,"chain      follow-up cascade",'Team matrix'!$B$5:$B$46,"elite"),"")</f>
        <v>0.51</v>
      </c>
    </row>
    <row r="79" customFormat="false" ht="15" hidden="false" customHeight="true" outlineLevel="0" collapsed="false">
      <c r="A79" s="15" t="s">
        <v>78</v>
      </c>
      <c r="B79" s="16" t="n">
        <f aca="false">IFERROR(SUMIFS('Team matrix'!$L$5:$L$46,'Team matrix'!$A$5:$A$46,"chain      cascade  same target",'Team matrix'!$B$5:$B$46,"reference"),"")</f>
        <v>0.44</v>
      </c>
      <c r="C79" s="16" t="n">
        <f aca="false">IFERROR(SUMIFS('Team matrix'!$L$5:$L$46,'Team matrix'!$A$5:$A$46,"chain      cascade  same target",'Team matrix'!$B$5:$B$46,"swarm"),"")</f>
        <v>0.53</v>
      </c>
      <c r="D79" s="16" t="n">
        <f aca="false">IFERROR(SUMIFS('Team matrix'!$L$5:$L$46,'Team matrix'!$A$5:$A$46,"chain      cascade  same target",'Team matrix'!$B$5:$B$46,"elite"),"")</f>
        <v>0.47</v>
      </c>
    </row>
    <row r="80" customFormat="false" ht="15" hidden="false" customHeight="true" outlineLevel="0" collapsed="false">
      <c r="A80" s="15" t="s">
        <v>79</v>
      </c>
      <c r="B80" s="16" t="n">
        <f aca="false">IFERROR(SUMIFS('Team matrix'!$L$5:$L$46,'Team matrix'!$A$5:$A$46,"break      shred and vulnerable",'Team matrix'!$B$5:$B$46,"reference"),"")</f>
        <v>0.32</v>
      </c>
      <c r="C80" s="16" t="n">
        <f aca="false">IFERROR(SUMIFS('Team matrix'!$L$5:$L$46,'Team matrix'!$A$5:$A$46,"break      shred and vulnerable",'Team matrix'!$B$5:$B$46,"swarm"),"")</f>
        <v>0.41</v>
      </c>
      <c r="D80" s="16" t="n">
        <f aca="false">IFERROR(SUMIFS('Team matrix'!$L$5:$L$46,'Team matrix'!$A$5:$A$46,"break      shred and vulnerable",'Team matrix'!$B$5:$B$46,"elite"),"")</f>
        <v>0.51</v>
      </c>
    </row>
    <row r="81" customFormat="false" ht="15" hidden="false" customHeight="true" outlineLevel="0" collapsed="false">
      <c r="A81" s="15" t="s">
        <v>80</v>
      </c>
      <c r="B81" s="16" t="n">
        <f aca="false">IFERROR(SUMIFS('Team matrix'!$L$5:$L$46,'Team matrix'!$A$5:$A$46,"tall       fewer  upgraded",'Team matrix'!$B$5:$B$46,"reference"),"")</f>
        <v>0.64</v>
      </c>
      <c r="C81" s="16" t="n">
        <f aca="false">IFERROR(SUMIFS('Team matrix'!$L$5:$L$46,'Team matrix'!$A$5:$A$46,"tall       fewer  upgraded",'Team matrix'!$B$5:$B$46,"swarm"),"")</f>
        <v>0.65</v>
      </c>
      <c r="D81" s="16" t="n">
        <f aca="false">IFERROR(SUMIFS('Team matrix'!$L$5:$L$46,'Team matrix'!$A$5:$A$46,"tall       fewer  upgraded",'Team matrix'!$B$5:$B$46,"elite"),"")</f>
        <v>0.49</v>
      </c>
    </row>
    <row r="82" customFormat="false" ht="15" hidden="false" customHeight="true" outlineLevel="0" collapsed="false">
      <c r="A82" s="15" t="s">
        <v>81</v>
      </c>
      <c r="B82" s="16" t="n">
        <f aca="false">IFERROR(SUMIFS('Team matrix'!$L$5:$L$46,'Team matrix'!$A$5:$A$46,"wide       more  unupgraded",'Team matrix'!$B$5:$B$46,"reference"),"")</f>
        <v>0.53</v>
      </c>
      <c r="C82" s="16" t="n">
        <f aca="false">IFERROR(SUMIFS('Team matrix'!$L$5:$L$46,'Team matrix'!$A$5:$A$46,"wide       more  unupgraded",'Team matrix'!$B$5:$B$46,"swarm"),"")</f>
        <v>0.64</v>
      </c>
      <c r="D82" s="16" t="n">
        <f aca="false">IFERROR(SUMIFS('Team matrix'!$L$5:$L$46,'Team matrix'!$A$5:$A$46,"wide       more  unupgraded",'Team matrix'!$B$5:$B$46,"elite"),"")</f>
        <v>0.49</v>
      </c>
    </row>
    <row r="83" customFormat="false" ht="15" hidden="false" customHeight="true" outlineLevel="0" collapsed="false">
      <c r="A83" s="15" t="s">
        <v>82</v>
      </c>
      <c r="B83" s="16" t="n">
        <f aca="false">IFERROR(SUMIFS('Team matrix'!$L$5:$L$46,'Team matrix'!$A$5:$A$46,"hybrid     dots + cascade",'Team matrix'!$B$5:$B$46,"reference"),"")</f>
        <v>0.65</v>
      </c>
      <c r="C83" s="16" t="n">
        <f aca="false">IFERROR(SUMIFS('Team matrix'!$L$5:$L$46,'Team matrix'!$A$5:$A$46,"hybrid     dots + cascade",'Team matrix'!$B$5:$B$46,"swarm"),"")</f>
        <v>0.69</v>
      </c>
      <c r="D83" s="16" t="n">
        <f aca="false">IFERROR(SUMIFS('Team matrix'!$L$5:$L$46,'Team matrix'!$A$5:$A$46,"hybrid     dots + cascade",'Team matrix'!$B$5:$B$46,"elite"),"")</f>
        <v>0.61</v>
      </c>
    </row>
    <row r="84" customFormat="false" ht="15" hidden="false" customHeight="true" outlineLevel="0" collapsed="false">
      <c r="A84" s="15" t="s">
        <v>83</v>
      </c>
      <c r="B84" s="16" t="n">
        <f aca="false">IFERROR(SUMIFS('Team matrix'!$L$5:$L$46,'Team matrix'!$A$5:$A$46,"hybrid     dots + detonator",'Team matrix'!$B$5:$B$46,"reference"),"")</f>
        <v>0.27</v>
      </c>
      <c r="C84" s="16" t="n">
        <f aca="false">IFERROR(SUMIFS('Team matrix'!$L$5:$L$46,'Team matrix'!$A$5:$A$46,"hybrid     dots + detonator",'Team matrix'!$B$5:$B$46,"swarm"),"")</f>
        <v>0.35</v>
      </c>
      <c r="D84" s="16" t="n">
        <f aca="false">IFERROR(SUMIFS('Team matrix'!$L$5:$L$46,'Team matrix'!$A$5:$A$46,"hybrid     dots + detonator",'Team matrix'!$B$5:$B$46,"elite"),"")</f>
        <v>0.39</v>
      </c>
    </row>
    <row r="87" customFormat="false" ht="15" hidden="false" customHeight="true" outlineLevel="0" collapsed="false">
      <c r="A87" s="2" t="s">
        <v>88</v>
      </c>
    </row>
    <row r="88" customFormat="false" ht="15" hidden="false" customHeight="true" outlineLevel="0" collapsed="false">
      <c r="A88" s="7" t="s">
        <v>89</v>
      </c>
    </row>
    <row r="89" customFormat="false" ht="15" hidden="false" customHeight="true" outlineLevel="0" collapsed="false">
      <c r="B89" s="14" t="s">
        <v>68</v>
      </c>
      <c r="C89" s="14" t="s">
        <v>69</v>
      </c>
      <c r="D89" s="14" t="s">
        <v>70</v>
      </c>
    </row>
    <row r="90" customFormat="false" ht="15" hidden="false" customHeight="true" outlineLevel="0" collapsed="false">
      <c r="A90" s="15" t="s">
        <v>67</v>
      </c>
      <c r="B90" s="17" t="n">
        <f aca="false">IFERROR(SUMIFS('Team matrix'!$G$5:$G$46,'Team matrix'!$A$5:$A$46,"control  plain damage",'Team matrix'!$B$5:$B$46,"reference"),"")</f>
        <v>19</v>
      </c>
      <c r="C90" s="17" t="n">
        <f aca="false">IFERROR(SUMIFS('Team matrix'!$G$5:$G$46,'Team matrix'!$A$5:$A$46,"control  plain damage",'Team matrix'!$B$5:$B$46,"swarm"),"")</f>
        <v>19</v>
      </c>
      <c r="D90" s="17" t="n">
        <f aca="false">IFERROR(SUMIFS('Team matrix'!$G$5:$G$46,'Team matrix'!$A$5:$A$46,"control  plain damage",'Team matrix'!$B$5:$B$46,"elite"),"")</f>
        <v>27</v>
      </c>
    </row>
    <row r="91" customFormat="false" ht="15" hidden="false" customHeight="true" outlineLevel="0" collapsed="false">
      <c r="A91" s="15" t="s">
        <v>71</v>
      </c>
      <c r="B91" s="17" t="n">
        <f aca="false">IFERROR(SUMIFS('Team matrix'!$G$5:$G$46,'Team matrix'!$A$5:$A$46,"control  all AoE",'Team matrix'!$B$5:$B$46,"reference"),"")</f>
        <v>28</v>
      </c>
      <c r="C91" s="17" t="n">
        <f aca="false">IFERROR(SUMIFS('Team matrix'!$G$5:$G$46,'Team matrix'!$A$5:$A$46,"control  all AoE",'Team matrix'!$B$5:$B$46,"swarm"),"")</f>
        <v>31</v>
      </c>
      <c r="D91" s="17" t="n">
        <f aca="false">IFERROR(SUMIFS('Team matrix'!$G$5:$G$46,'Team matrix'!$A$5:$A$46,"control  all AoE",'Team matrix'!$B$5:$B$46,"elite"),"")</f>
        <v>36</v>
      </c>
    </row>
    <row r="92" customFormat="false" ht="15" hidden="false" customHeight="true" outlineLevel="0" collapsed="false">
      <c r="A92" s="15" t="s">
        <v>72</v>
      </c>
      <c r="B92" s="17" t="n">
        <f aca="false">IFERROR(SUMIFS('Team matrix'!$G$5:$G$46,'Team matrix'!$A$5:$A$46,"heavy dot  1 type  big ticks",'Team matrix'!$B$5:$B$46,"reference"),"")</f>
        <v>154</v>
      </c>
      <c r="C92" s="17" t="n">
        <f aca="false">IFERROR(SUMIFS('Team matrix'!$G$5:$G$46,'Team matrix'!$A$5:$A$46,"heavy dot  1 type  big ticks",'Team matrix'!$B$5:$B$46,"swarm"),"")</f>
        <v>154</v>
      </c>
      <c r="D92" s="17" t="n">
        <f aca="false">IFERROR(SUMIFS('Team matrix'!$G$5:$G$46,'Team matrix'!$A$5:$A$46,"heavy dot  1 type  big ticks",'Team matrix'!$B$5:$B$46,"elite"),"")</f>
        <v>154</v>
      </c>
    </row>
    <row r="93" customFormat="false" ht="15" hidden="false" customHeight="true" outlineLevel="0" collapsed="false">
      <c r="A93" s="15" t="s">
        <v>73</v>
      </c>
      <c r="B93" s="17" t="n">
        <f aca="false">IFERROR(SUMIFS('Team matrix'!$G$5:$G$46,'Team matrix'!$A$5:$A$46,"heavy dot  no support",'Team matrix'!$B$5:$B$46,"reference"),"")</f>
        <v>154</v>
      </c>
      <c r="C93" s="17" t="n">
        <f aca="false">IFERROR(SUMIFS('Team matrix'!$G$5:$G$46,'Team matrix'!$A$5:$A$46,"heavy dot  no support",'Team matrix'!$B$5:$B$46,"swarm"),"")</f>
        <v>154</v>
      </c>
      <c r="D93" s="17" t="n">
        <f aca="false">IFERROR(SUMIFS('Team matrix'!$G$5:$G$46,'Team matrix'!$A$5:$A$46,"heavy dot  no support",'Team matrix'!$B$5:$B$46,"elite"),"")</f>
        <v>154</v>
      </c>
    </row>
    <row r="94" customFormat="false" ht="15" hidden="false" customHeight="true" outlineLevel="0" collapsed="false">
      <c r="A94" s="15" t="s">
        <v>74</v>
      </c>
      <c r="B94" s="17" t="n">
        <f aca="false">IFERROR(SUMIFS('Team matrix'!$G$5:$G$46,'Team matrix'!$A$5:$A$46,"wide dot   4 types  many hits",'Team matrix'!$B$5:$B$46,"reference"),"")</f>
        <v>48</v>
      </c>
      <c r="C94" s="17" t="n">
        <f aca="false">IFERROR(SUMIFS('Team matrix'!$G$5:$G$46,'Team matrix'!$A$5:$A$46,"wide dot   4 types  many hits",'Team matrix'!$B$5:$B$46,"swarm"),"")</f>
        <v>42</v>
      </c>
      <c r="D94" s="17" t="n">
        <f aca="false">IFERROR(SUMIFS('Team matrix'!$G$5:$G$46,'Team matrix'!$A$5:$A$46,"wide dot   4 types  many hits",'Team matrix'!$B$5:$B$46,"elite"),"")</f>
        <v>69</v>
      </c>
    </row>
    <row r="95" customFormat="false" ht="15" hidden="false" customHeight="true" outlineLevel="0" collapsed="false">
      <c r="A95" s="15" t="s">
        <v>75</v>
      </c>
      <c r="B95" s="17" t="n">
        <f aca="false">IFERROR(SUMIFS('Team matrix'!$G$5:$G$46,'Team matrix'!$A$5:$A$46,"wide dot   4 types  no support",'Team matrix'!$B$5:$B$46,"reference"),"")</f>
        <v>42</v>
      </c>
      <c r="C95" s="17" t="n">
        <f aca="false">IFERROR(SUMIFS('Team matrix'!$G$5:$G$46,'Team matrix'!$A$5:$A$46,"wide dot   4 types  no support",'Team matrix'!$B$5:$B$46,"swarm"),"")</f>
        <v>42</v>
      </c>
      <c r="D95" s="17" t="n">
        <f aca="false">IFERROR(SUMIFS('Team matrix'!$G$5:$G$46,'Team matrix'!$A$5:$A$46,"wide dot   4 types  no support",'Team matrix'!$B$5:$B$46,"elite"),"")</f>
        <v>66</v>
      </c>
    </row>
    <row r="96" customFormat="false" ht="15" hidden="false" customHeight="true" outlineLevel="0" collapsed="false">
      <c r="A96" s="15" t="s">
        <v>76</v>
      </c>
      <c r="B96" s="17" t="n">
        <f aca="false">IFERROR(SUMIFS('Team matrix'!$G$5:$G$46,'Team matrix'!$A$5:$A$46,"detonator  stacks then burst",'Team matrix'!$B$5:$B$46,"reference"),"")</f>
        <v>281</v>
      </c>
      <c r="C96" s="17" t="n">
        <f aca="false">IFERROR(SUMIFS('Team matrix'!$G$5:$G$46,'Team matrix'!$A$5:$A$46,"detonator  stacks then burst",'Team matrix'!$B$5:$B$46,"swarm"),"")</f>
        <v>281</v>
      </c>
      <c r="D96" s="17" t="n">
        <f aca="false">IFERROR(SUMIFS('Team matrix'!$G$5:$G$46,'Team matrix'!$A$5:$A$46,"detonator  stacks then burst",'Team matrix'!$B$5:$B$46,"elite"),"")</f>
        <v>195</v>
      </c>
    </row>
    <row r="97" customFormat="false" ht="15" hidden="false" customHeight="true" outlineLevel="0" collapsed="false">
      <c r="A97" s="15" t="s">
        <v>77</v>
      </c>
      <c r="B97" s="17" t="n">
        <f aca="false">IFERROR(SUMIFS('Team matrix'!$G$5:$G$46,'Team matrix'!$A$5:$A$46,"chain      follow-up cascade",'Team matrix'!$B$5:$B$46,"reference"),"")</f>
        <v>26</v>
      </c>
      <c r="C97" s="17" t="n">
        <f aca="false">IFERROR(SUMIFS('Team matrix'!$G$5:$G$46,'Team matrix'!$A$5:$A$46,"chain      follow-up cascade",'Team matrix'!$B$5:$B$46,"swarm"),"")</f>
        <v>26</v>
      </c>
      <c r="D97" s="17" t="n">
        <f aca="false">IFERROR(SUMIFS('Team matrix'!$G$5:$G$46,'Team matrix'!$A$5:$A$46,"chain      follow-up cascade",'Team matrix'!$B$5:$B$46,"elite"),"")</f>
        <v>45</v>
      </c>
    </row>
    <row r="98" customFormat="false" ht="15" hidden="false" customHeight="true" outlineLevel="0" collapsed="false">
      <c r="A98" s="15" t="s">
        <v>78</v>
      </c>
      <c r="B98" s="17" t="n">
        <f aca="false">IFERROR(SUMIFS('Team matrix'!$G$5:$G$46,'Team matrix'!$A$5:$A$46,"chain      cascade  same target",'Team matrix'!$B$5:$B$46,"reference"),"")</f>
        <v>32</v>
      </c>
      <c r="C98" s="17" t="n">
        <f aca="false">IFERROR(SUMIFS('Team matrix'!$G$5:$G$46,'Team matrix'!$A$5:$A$46,"chain      cascade  same target",'Team matrix'!$B$5:$B$46,"swarm"),"")</f>
        <v>30</v>
      </c>
      <c r="D98" s="17" t="n">
        <f aca="false">IFERROR(SUMIFS('Team matrix'!$G$5:$G$46,'Team matrix'!$A$5:$A$46,"chain      cascade  same target",'Team matrix'!$B$5:$B$46,"elite"),"")</f>
        <v>52</v>
      </c>
    </row>
    <row r="99" customFormat="false" ht="15" hidden="false" customHeight="true" outlineLevel="0" collapsed="false">
      <c r="A99" s="15" t="s">
        <v>79</v>
      </c>
      <c r="B99" s="17" t="n">
        <f aca="false">IFERROR(SUMIFS('Team matrix'!$G$5:$G$46,'Team matrix'!$A$5:$A$46,"break      shred and vulnerable",'Team matrix'!$B$5:$B$46,"reference"),"")</f>
        <v>31</v>
      </c>
      <c r="C99" s="17" t="n">
        <f aca="false">IFERROR(SUMIFS('Team matrix'!$G$5:$G$46,'Team matrix'!$A$5:$A$46,"break      shred and vulnerable",'Team matrix'!$B$5:$B$46,"swarm"),"")</f>
        <v>33</v>
      </c>
      <c r="D99" s="17" t="n">
        <f aca="false">IFERROR(SUMIFS('Team matrix'!$G$5:$G$46,'Team matrix'!$A$5:$A$46,"break      shred and vulnerable",'Team matrix'!$B$5:$B$46,"elite"),"")</f>
        <v>37</v>
      </c>
    </row>
    <row r="100" customFormat="false" ht="15" hidden="false" customHeight="true" outlineLevel="0" collapsed="false">
      <c r="A100" s="15" t="s">
        <v>80</v>
      </c>
      <c r="B100" s="17" t="n">
        <f aca="false">IFERROR(SUMIFS('Team matrix'!$G$5:$G$46,'Team matrix'!$A$5:$A$46,"tall       fewer  upgraded",'Team matrix'!$B$5:$B$46,"reference"),"")</f>
        <v>35</v>
      </c>
      <c r="C100" s="17" t="n">
        <f aca="false">IFERROR(SUMIFS('Team matrix'!$G$5:$G$46,'Team matrix'!$A$5:$A$46,"tall       fewer  upgraded",'Team matrix'!$B$5:$B$46,"swarm"),"")</f>
        <v>35</v>
      </c>
      <c r="D100" s="17" t="n">
        <f aca="false">IFERROR(SUMIFS('Team matrix'!$G$5:$G$46,'Team matrix'!$A$5:$A$46,"tall       fewer  upgraded",'Team matrix'!$B$5:$B$46,"elite"),"")</f>
        <v>35</v>
      </c>
    </row>
    <row r="101" customFormat="false" ht="15" hidden="false" customHeight="true" outlineLevel="0" collapsed="false">
      <c r="A101" s="15" t="s">
        <v>81</v>
      </c>
      <c r="B101" s="17" t="n">
        <f aca="false">IFERROR(SUMIFS('Team matrix'!$G$5:$G$46,'Team matrix'!$A$5:$A$46,"wide       more  unupgraded",'Team matrix'!$B$5:$B$46,"reference"),"")</f>
        <v>16</v>
      </c>
      <c r="C101" s="17" t="n">
        <f aca="false">IFERROR(SUMIFS('Team matrix'!$G$5:$G$46,'Team matrix'!$A$5:$A$46,"wide       more  unupgraded",'Team matrix'!$B$5:$B$46,"swarm"),"")</f>
        <v>16</v>
      </c>
      <c r="D101" s="17" t="n">
        <f aca="false">IFERROR(SUMIFS('Team matrix'!$G$5:$G$46,'Team matrix'!$A$5:$A$46,"wide       more  unupgraded",'Team matrix'!$B$5:$B$46,"elite"),"")</f>
        <v>26</v>
      </c>
    </row>
    <row r="102" customFormat="false" ht="15" hidden="false" customHeight="true" outlineLevel="0" collapsed="false">
      <c r="A102" s="15" t="s">
        <v>82</v>
      </c>
      <c r="B102" s="17" t="n">
        <f aca="false">IFERROR(SUMIFS('Team matrix'!$G$5:$G$46,'Team matrix'!$A$5:$A$46,"hybrid     dots + cascade",'Team matrix'!$B$5:$B$46,"reference"),"")</f>
        <v>68</v>
      </c>
      <c r="C102" s="17" t="n">
        <f aca="false">IFERROR(SUMIFS('Team matrix'!$G$5:$G$46,'Team matrix'!$A$5:$A$46,"hybrid     dots + cascade",'Team matrix'!$B$5:$B$46,"swarm"),"")</f>
        <v>68</v>
      </c>
      <c r="D102" s="17" t="n">
        <f aca="false">IFERROR(SUMIFS('Team matrix'!$G$5:$G$46,'Team matrix'!$A$5:$A$46,"hybrid     dots + cascade",'Team matrix'!$B$5:$B$46,"elite"),"")</f>
        <v>80</v>
      </c>
    </row>
    <row r="103" customFormat="false" ht="15" hidden="false" customHeight="true" outlineLevel="0" collapsed="false">
      <c r="A103" s="15" t="s">
        <v>83</v>
      </c>
      <c r="B103" s="17" t="n">
        <f aca="false">IFERROR(SUMIFS('Team matrix'!$G$5:$G$46,'Team matrix'!$A$5:$A$46,"hybrid     dots + detonator",'Team matrix'!$B$5:$B$46,"reference"),"")</f>
        <v>237</v>
      </c>
      <c r="C103" s="17" t="n">
        <f aca="false">IFERROR(SUMIFS('Team matrix'!$G$5:$G$46,'Team matrix'!$A$5:$A$46,"hybrid     dots + detonator",'Team matrix'!$B$5:$B$46,"swarm"),"")</f>
        <v>237</v>
      </c>
      <c r="D103" s="17" t="n">
        <f aca="false">IFERROR(SUMIFS('Team matrix'!$G$5:$G$46,'Team matrix'!$A$5:$A$46,"hybrid     dots + detonator",'Team matrix'!$B$5:$B$46,"elite"),"")</f>
        <v>145</v>
      </c>
    </row>
    <row r="106" customFormat="false" ht="15" hidden="false" customHeight="true" outlineLevel="0" collapsed="false">
      <c r="A106" s="2" t="s">
        <v>90</v>
      </c>
    </row>
    <row r="107" customFormat="false" ht="15" hidden="false" customHeight="true" outlineLevel="0" collapsed="false">
      <c r="A107" s="7" t="s">
        <v>89</v>
      </c>
    </row>
    <row r="108" customFormat="false" ht="15" hidden="false" customHeight="true" outlineLevel="0" collapsed="false">
      <c r="B108" s="14" t="s">
        <v>68</v>
      </c>
      <c r="C108" s="14" t="s">
        <v>69</v>
      </c>
      <c r="D108" s="14" t="s">
        <v>70</v>
      </c>
    </row>
    <row r="109" customFormat="false" ht="15" hidden="false" customHeight="true" outlineLevel="0" collapsed="false">
      <c r="A109" s="15" t="s">
        <v>67</v>
      </c>
      <c r="B109" s="18" t="n">
        <f aca="false">IFERROR(SUMIFS('Team matrix'!$F$5:$F$46,'Team matrix'!$A$5:$A$46,"control  plain damage",'Team matrix'!$B$5:$B$46,"reference"),"")</f>
        <v>8</v>
      </c>
      <c r="C109" s="18" t="n">
        <f aca="false">IFERROR(SUMIFS('Team matrix'!$F$5:$F$46,'Team matrix'!$A$5:$A$46,"control  plain damage",'Team matrix'!$B$5:$B$46,"swarm"),"")</f>
        <v>9.1</v>
      </c>
      <c r="D109" s="18" t="n">
        <f aca="false">IFERROR(SUMIFS('Team matrix'!$F$5:$F$46,'Team matrix'!$A$5:$A$46,"control  plain damage",'Team matrix'!$B$5:$B$46,"elite"),"")</f>
        <v>6</v>
      </c>
    </row>
    <row r="110" customFormat="false" ht="15" hidden="false" customHeight="true" outlineLevel="0" collapsed="false">
      <c r="A110" s="15" t="s">
        <v>71</v>
      </c>
      <c r="B110" s="18" t="n">
        <f aca="false">IFERROR(SUMIFS('Team matrix'!$F$5:$F$46,'Team matrix'!$A$5:$A$46,"control  all AoE",'Team matrix'!$B$5:$B$46,"reference"),"")</f>
        <v>18.8</v>
      </c>
      <c r="C110" s="18" t="n">
        <f aca="false">IFERROR(SUMIFS('Team matrix'!$F$5:$F$46,'Team matrix'!$A$5:$A$46,"control  all AoE",'Team matrix'!$B$5:$B$46,"swarm"),"")</f>
        <v>22.5</v>
      </c>
      <c r="D110" s="18" t="n">
        <f aca="false">IFERROR(SUMIFS('Team matrix'!$F$5:$F$46,'Team matrix'!$A$5:$A$46,"control  all AoE",'Team matrix'!$B$5:$B$46,"elite"),"")</f>
        <v>11.9</v>
      </c>
    </row>
    <row r="111" customFormat="false" ht="15" hidden="false" customHeight="true" outlineLevel="0" collapsed="false">
      <c r="A111" s="15" t="s">
        <v>72</v>
      </c>
      <c r="B111" s="18" t="n">
        <f aca="false">IFERROR(SUMIFS('Team matrix'!$F$5:$F$46,'Team matrix'!$A$5:$A$46,"heavy dot  1 type  big ticks",'Team matrix'!$B$5:$B$46,"reference"),"")</f>
        <v>18.1</v>
      </c>
      <c r="C111" s="18" t="n">
        <f aca="false">IFERROR(SUMIFS('Team matrix'!$F$5:$F$46,'Team matrix'!$A$5:$A$46,"heavy dot  1 type  big ticks",'Team matrix'!$B$5:$B$46,"swarm"),"")</f>
        <v>18.8</v>
      </c>
      <c r="D111" s="18" t="n">
        <f aca="false">IFERROR(SUMIFS('Team matrix'!$F$5:$F$46,'Team matrix'!$A$5:$A$46,"heavy dot  1 type  big ticks",'Team matrix'!$B$5:$B$46,"elite"),"")</f>
        <v>8.8</v>
      </c>
    </row>
    <row r="112" customFormat="false" ht="15" hidden="false" customHeight="true" outlineLevel="0" collapsed="false">
      <c r="A112" s="15" t="s">
        <v>73</v>
      </c>
      <c r="B112" s="18" t="n">
        <f aca="false">IFERROR(SUMIFS('Team matrix'!$F$5:$F$46,'Team matrix'!$A$5:$A$46,"heavy dot  no support",'Team matrix'!$B$5:$B$46,"reference"),"")</f>
        <v>17.2</v>
      </c>
      <c r="C112" s="18" t="n">
        <f aca="false">IFERROR(SUMIFS('Team matrix'!$F$5:$F$46,'Team matrix'!$A$5:$A$46,"heavy dot  no support",'Team matrix'!$B$5:$B$46,"swarm"),"")</f>
        <v>18.2</v>
      </c>
      <c r="D112" s="18" t="n">
        <f aca="false">IFERROR(SUMIFS('Team matrix'!$F$5:$F$46,'Team matrix'!$A$5:$A$46,"heavy dot  no support",'Team matrix'!$B$5:$B$46,"elite"),"")</f>
        <v>8.6</v>
      </c>
    </row>
    <row r="113" customFormat="false" ht="15" hidden="false" customHeight="true" outlineLevel="0" collapsed="false">
      <c r="A113" s="15" t="s">
        <v>74</v>
      </c>
      <c r="B113" s="18" t="n">
        <f aca="false">IFERROR(SUMIFS('Team matrix'!$F$5:$F$46,'Team matrix'!$A$5:$A$46,"wide dot   4 types  many hits",'Team matrix'!$B$5:$B$46,"reference"),"")</f>
        <v>24.5</v>
      </c>
      <c r="C113" s="18" t="n">
        <f aca="false">IFERROR(SUMIFS('Team matrix'!$F$5:$F$46,'Team matrix'!$A$5:$A$46,"wide dot   4 types  many hits",'Team matrix'!$B$5:$B$46,"swarm"),"")</f>
        <v>29.3</v>
      </c>
      <c r="D113" s="18" t="n">
        <f aca="false">IFERROR(SUMIFS('Team matrix'!$F$5:$F$46,'Team matrix'!$A$5:$A$46,"wide dot   4 types  many hits",'Team matrix'!$B$5:$B$46,"elite"),"")</f>
        <v>15.7</v>
      </c>
    </row>
    <row r="114" customFormat="false" ht="15" hidden="false" customHeight="true" outlineLevel="0" collapsed="false">
      <c r="A114" s="15" t="s">
        <v>75</v>
      </c>
      <c r="B114" s="18" t="n">
        <f aca="false">IFERROR(SUMIFS('Team matrix'!$F$5:$F$46,'Team matrix'!$A$5:$A$46,"wide dot   4 types  no support",'Team matrix'!$B$5:$B$46,"reference"),"")</f>
        <v>24.5</v>
      </c>
      <c r="C114" s="18" t="n">
        <f aca="false">IFERROR(SUMIFS('Team matrix'!$F$5:$F$46,'Team matrix'!$A$5:$A$46,"wide dot   4 types  no support",'Team matrix'!$B$5:$B$46,"swarm"),"")</f>
        <v>27.4</v>
      </c>
      <c r="D114" s="18" t="n">
        <f aca="false">IFERROR(SUMIFS('Team matrix'!$F$5:$F$46,'Team matrix'!$A$5:$A$46,"wide dot   4 types  no support",'Team matrix'!$B$5:$B$46,"elite"),"")</f>
        <v>15.3</v>
      </c>
    </row>
    <row r="115" customFormat="false" ht="15" hidden="false" customHeight="true" outlineLevel="0" collapsed="false">
      <c r="A115" s="15" t="s">
        <v>76</v>
      </c>
      <c r="B115" s="18" t="n">
        <f aca="false">IFERROR(SUMIFS('Team matrix'!$F$5:$F$46,'Team matrix'!$A$5:$A$46,"detonator  stacks then burst",'Team matrix'!$B$5:$B$46,"reference"),"")</f>
        <v>15.2</v>
      </c>
      <c r="C115" s="18" t="n">
        <f aca="false">IFERROR(SUMIFS('Team matrix'!$F$5:$F$46,'Team matrix'!$A$5:$A$46,"detonator  stacks then burst",'Team matrix'!$B$5:$B$46,"swarm"),"")</f>
        <v>19.2</v>
      </c>
      <c r="D115" s="18" t="n">
        <f aca="false">IFERROR(SUMIFS('Team matrix'!$F$5:$F$46,'Team matrix'!$A$5:$A$46,"detonator  stacks then burst",'Team matrix'!$B$5:$B$46,"elite"),"")</f>
        <v>8.5</v>
      </c>
    </row>
    <row r="116" customFormat="false" ht="15" hidden="false" customHeight="true" outlineLevel="0" collapsed="false">
      <c r="A116" s="15" t="s">
        <v>77</v>
      </c>
      <c r="B116" s="18" t="n">
        <f aca="false">IFERROR(SUMIFS('Team matrix'!$F$5:$F$46,'Team matrix'!$A$5:$A$46,"chain      follow-up cascade",'Team matrix'!$B$5:$B$46,"reference"),"")</f>
        <v>37.3</v>
      </c>
      <c r="C116" s="18" t="n">
        <f aca="false">IFERROR(SUMIFS('Team matrix'!$F$5:$F$46,'Team matrix'!$A$5:$A$46,"chain      follow-up cascade",'Team matrix'!$B$5:$B$46,"swarm"),"")</f>
        <v>41.3</v>
      </c>
      <c r="D116" s="18" t="n">
        <f aca="false">IFERROR(SUMIFS('Team matrix'!$F$5:$F$46,'Team matrix'!$A$5:$A$46,"chain      follow-up cascade",'Team matrix'!$B$5:$B$46,"elite"),"")</f>
        <v>33.2</v>
      </c>
    </row>
    <row r="117" customFormat="false" ht="15" hidden="false" customHeight="true" outlineLevel="0" collapsed="false">
      <c r="A117" s="15" t="s">
        <v>78</v>
      </c>
      <c r="B117" s="18" t="n">
        <f aca="false">IFERROR(SUMIFS('Team matrix'!$F$5:$F$46,'Team matrix'!$A$5:$A$46,"chain      cascade  same target",'Team matrix'!$B$5:$B$46,"reference"),"")</f>
        <v>32.5</v>
      </c>
      <c r="C117" s="18" t="n">
        <f aca="false">IFERROR(SUMIFS('Team matrix'!$F$5:$F$46,'Team matrix'!$A$5:$A$46,"chain      cascade  same target",'Team matrix'!$B$5:$B$46,"swarm"),"")</f>
        <v>40.5</v>
      </c>
      <c r="D117" s="18" t="n">
        <f aca="false">IFERROR(SUMIFS('Team matrix'!$F$5:$F$46,'Team matrix'!$A$5:$A$46,"chain      cascade  same target",'Team matrix'!$B$5:$B$46,"elite"),"")</f>
        <v>27.7</v>
      </c>
    </row>
    <row r="118" customFormat="false" ht="15" hidden="false" customHeight="true" outlineLevel="0" collapsed="false">
      <c r="A118" s="15" t="s">
        <v>79</v>
      </c>
      <c r="B118" s="18" t="n">
        <f aca="false">IFERROR(SUMIFS('Team matrix'!$F$5:$F$46,'Team matrix'!$A$5:$A$46,"break      shred and vulnerable",'Team matrix'!$B$5:$B$46,"reference"),"")</f>
        <v>14.3</v>
      </c>
      <c r="C118" s="18" t="n">
        <f aca="false">IFERROR(SUMIFS('Team matrix'!$F$5:$F$46,'Team matrix'!$A$5:$A$46,"break      shred and vulnerable",'Team matrix'!$B$5:$B$46,"swarm"),"")</f>
        <v>17.1</v>
      </c>
      <c r="D118" s="18" t="n">
        <f aca="false">IFERROR(SUMIFS('Team matrix'!$F$5:$F$46,'Team matrix'!$A$5:$A$46,"break      shred and vulnerable",'Team matrix'!$B$5:$B$46,"elite"),"")</f>
        <v>9</v>
      </c>
    </row>
    <row r="119" customFormat="false" ht="15" hidden="false" customHeight="true" outlineLevel="0" collapsed="false">
      <c r="A119" s="15" t="s">
        <v>80</v>
      </c>
      <c r="B119" s="18" t="n">
        <f aca="false">IFERROR(SUMIFS('Team matrix'!$F$5:$F$46,'Team matrix'!$A$5:$A$46,"tall       fewer  upgraded",'Team matrix'!$B$5:$B$46,"reference"),"")</f>
        <v>7</v>
      </c>
      <c r="C119" s="18" t="n">
        <f aca="false">IFERROR(SUMIFS('Team matrix'!$F$5:$F$46,'Team matrix'!$A$5:$A$46,"tall       fewer  upgraded",'Team matrix'!$B$5:$B$46,"swarm"),"")</f>
        <v>7.8</v>
      </c>
      <c r="D119" s="18" t="n">
        <f aca="false">IFERROR(SUMIFS('Team matrix'!$F$5:$F$46,'Team matrix'!$A$5:$A$46,"tall       fewer  upgraded",'Team matrix'!$B$5:$B$46,"elite"),"")</f>
        <v>4.1</v>
      </c>
    </row>
    <row r="120" customFormat="false" ht="15" hidden="false" customHeight="true" outlineLevel="0" collapsed="false">
      <c r="A120" s="15" t="s">
        <v>81</v>
      </c>
      <c r="B120" s="18" t="n">
        <f aca="false">IFERROR(SUMIFS('Team matrix'!$F$5:$F$46,'Team matrix'!$A$5:$A$46,"wide       more  unupgraded",'Team matrix'!$B$5:$B$46,"reference"),"")</f>
        <v>8.5</v>
      </c>
      <c r="C120" s="18" t="n">
        <f aca="false">IFERROR(SUMIFS('Team matrix'!$F$5:$F$46,'Team matrix'!$A$5:$A$46,"wide       more  unupgraded",'Team matrix'!$B$5:$B$46,"swarm"),"")</f>
        <v>9.3</v>
      </c>
      <c r="D120" s="18" t="n">
        <f aca="false">IFERROR(SUMIFS('Team matrix'!$F$5:$F$46,'Team matrix'!$A$5:$A$46,"wide       more  unupgraded",'Team matrix'!$B$5:$B$46,"elite"),"")</f>
        <v>5.9</v>
      </c>
    </row>
    <row r="121" customFormat="false" ht="15" hidden="false" customHeight="true" outlineLevel="0" collapsed="false">
      <c r="A121" s="15" t="s">
        <v>82</v>
      </c>
      <c r="B121" s="18" t="n">
        <f aca="false">IFERROR(SUMIFS('Team matrix'!$F$5:$F$46,'Team matrix'!$A$5:$A$46,"hybrid     dots + cascade",'Team matrix'!$B$5:$B$46,"reference"),"")</f>
        <v>28.7</v>
      </c>
      <c r="C121" s="18" t="n">
        <f aca="false">IFERROR(SUMIFS('Team matrix'!$F$5:$F$46,'Team matrix'!$A$5:$A$46,"hybrid     dots + cascade",'Team matrix'!$B$5:$B$46,"swarm"),"")</f>
        <v>31.7</v>
      </c>
      <c r="D121" s="18" t="n">
        <f aca="false">IFERROR(SUMIFS('Team matrix'!$F$5:$F$46,'Team matrix'!$A$5:$A$46,"hybrid     dots + cascade",'Team matrix'!$B$5:$B$46,"elite"),"")</f>
        <v>19.6</v>
      </c>
    </row>
    <row r="122" customFormat="false" ht="15" hidden="false" customHeight="true" outlineLevel="0" collapsed="false">
      <c r="A122" s="15" t="s">
        <v>83</v>
      </c>
      <c r="B122" s="18" t="n">
        <f aca="false">IFERROR(SUMIFS('Team matrix'!$F$5:$F$46,'Team matrix'!$A$5:$A$46,"hybrid     dots + detonator",'Team matrix'!$B$5:$B$46,"reference"),"")</f>
        <v>15.1</v>
      </c>
      <c r="C122" s="18" t="n">
        <f aca="false">IFERROR(SUMIFS('Team matrix'!$F$5:$F$46,'Team matrix'!$A$5:$A$46,"hybrid     dots + detonator",'Team matrix'!$B$5:$B$46,"swarm"),"")</f>
        <v>18</v>
      </c>
      <c r="D122" s="18" t="n">
        <f aca="false">IFERROR(SUMIFS('Team matrix'!$F$5:$F$46,'Team matrix'!$A$5:$A$46,"hybrid     dots + detonator",'Team matrix'!$B$5:$B$46,"elite"),"")</f>
        <v>9</v>
      </c>
    </row>
  </sheetData>
  <autoFilter ref="A4:M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1"/>
  </cols>
  <sheetData>
    <row r="1" customFormat="false" ht="17.35" hidden="false" customHeight="false" outlineLevel="0" collapsed="false">
      <c r="A1" s="19" t="s">
        <v>91</v>
      </c>
    </row>
    <row r="2" customFormat="false" ht="15" hidden="false" customHeight="false" outlineLevel="0" collapsed="false">
      <c r="A2" s="20" t="s">
        <v>92</v>
      </c>
    </row>
    <row r="4" customFormat="false" ht="15" hidden="false" customHeight="false" outlineLevel="0" collapsed="false">
      <c r="A4" s="21" t="s">
        <v>93</v>
      </c>
      <c r="B4" s="21" t="s">
        <v>94</v>
      </c>
    </row>
    <row r="5" customFormat="false" ht="15" hidden="false" customHeight="false" outlineLevel="0" collapsed="false">
      <c r="A5" s="22" t="s">
        <v>95</v>
      </c>
      <c r="B5" s="23" t="s">
        <v>96</v>
      </c>
    </row>
    <row r="6" customFormat="false" ht="15" hidden="false" customHeight="false" outlineLevel="0" collapsed="false">
      <c r="A6" s="22" t="s">
        <v>97</v>
      </c>
      <c r="B6" s="23" t="s">
        <v>98</v>
      </c>
    </row>
    <row r="7" customFormat="false" ht="15" hidden="false" customHeight="false" outlineLevel="0" collapsed="false">
      <c r="A7" s="22" t="s">
        <v>99</v>
      </c>
      <c r="B7" s="23" t="s">
        <v>100</v>
      </c>
    </row>
    <row r="8" customFormat="false" ht="15" hidden="false" customHeight="false" outlineLevel="0" collapsed="false">
      <c r="A8" s="22" t="s">
        <v>101</v>
      </c>
      <c r="B8" s="23" t="s">
        <v>102</v>
      </c>
    </row>
    <row r="9" customFormat="false" ht="15" hidden="false" customHeight="false" outlineLevel="0" collapsed="false">
      <c r="A9" s="22" t="s">
        <v>103</v>
      </c>
      <c r="B9" s="23" t="s">
        <v>104</v>
      </c>
    </row>
    <row r="10" customFormat="false" ht="15" hidden="false" customHeight="false" outlineLevel="0" collapsed="false">
      <c r="A10" s="22" t="s">
        <v>105</v>
      </c>
      <c r="B10" s="23" t="s">
        <v>106</v>
      </c>
    </row>
    <row r="11" customFormat="false" ht="15" hidden="false" customHeight="false" outlineLevel="0" collapsed="false">
      <c r="A11" s="22" t="s">
        <v>107</v>
      </c>
      <c r="B11" s="23" t="s">
        <v>108</v>
      </c>
    </row>
    <row r="12" customFormat="false" ht="15" hidden="false" customHeight="false" outlineLevel="0" collapsed="false">
      <c r="A12" s="22" t="s">
        <v>109</v>
      </c>
      <c r="B12" s="23" t="s">
        <v>110</v>
      </c>
    </row>
    <row r="13" customFormat="false" ht="15" hidden="false" customHeight="false" outlineLevel="0" collapsed="false">
      <c r="A13" s="22" t="s">
        <v>111</v>
      </c>
      <c r="B13" s="23" t="s">
        <v>112</v>
      </c>
    </row>
    <row r="16" customFormat="false" ht="15" hidden="false" customHeight="false" outlineLevel="0" collapsed="false">
      <c r="A16" s="24" t="s">
        <v>113</v>
      </c>
    </row>
    <row r="17" customFormat="false" ht="15" hidden="false" customHeight="false" outlineLevel="0" collapsed="false">
      <c r="A17" s="20" t="s">
        <v>114</v>
      </c>
    </row>
    <row r="18" customFormat="false" ht="15" hidden="false" customHeight="false" outlineLevel="0" collapsed="false">
      <c r="A18" s="14" t="s">
        <v>61</v>
      </c>
      <c r="B18" s="14" t="s">
        <v>95</v>
      </c>
      <c r="C18" s="14" t="s">
        <v>97</v>
      </c>
      <c r="D18" s="14" t="s">
        <v>99</v>
      </c>
      <c r="E18" s="14" t="s">
        <v>101</v>
      </c>
      <c r="F18" s="14" t="s">
        <v>103</v>
      </c>
      <c r="G18" s="14" t="s">
        <v>105</v>
      </c>
      <c r="H18" s="14" t="s">
        <v>107</v>
      </c>
      <c r="I18" s="14" t="s">
        <v>109</v>
      </c>
      <c r="J18" s="14" t="s">
        <v>111</v>
      </c>
    </row>
    <row r="19" customFormat="false" ht="15" hidden="false" customHeight="false" outlineLevel="0" collapsed="false">
      <c r="A19" s="25" t="s">
        <v>67</v>
      </c>
      <c r="B19" s="26" t="n">
        <v>1.74</v>
      </c>
      <c r="C19" s="26" t="n">
        <v>0.95</v>
      </c>
      <c r="D19" s="26" t="n">
        <v>1.12</v>
      </c>
      <c r="E19" s="26" t="n">
        <v>0.92</v>
      </c>
      <c r="F19" s="26" t="n">
        <v>1.09</v>
      </c>
      <c r="G19" s="26" t="n">
        <v>1.05</v>
      </c>
      <c r="H19" s="26" t="n">
        <v>1.05</v>
      </c>
      <c r="I19" s="26" t="n">
        <v>1.16</v>
      </c>
      <c r="J19" s="26" t="n">
        <v>1.12</v>
      </c>
    </row>
    <row r="20" customFormat="false" ht="15" hidden="false" customHeight="false" outlineLevel="0" collapsed="false">
      <c r="A20" s="25" t="s">
        <v>71</v>
      </c>
      <c r="B20" s="26" t="n">
        <v>2.57</v>
      </c>
      <c r="C20" s="26" t="n">
        <v>1.57</v>
      </c>
      <c r="D20" s="26" t="n">
        <v>1.81</v>
      </c>
      <c r="E20" s="26" t="n">
        <v>2.19</v>
      </c>
      <c r="F20" s="26" t="n">
        <v>1.74</v>
      </c>
      <c r="G20" s="26" t="n">
        <v>1.84</v>
      </c>
      <c r="H20" s="26" t="n">
        <v>1.71</v>
      </c>
      <c r="I20" s="26" t="n">
        <v>2.57</v>
      </c>
      <c r="J20" s="26" t="n">
        <v>1.67</v>
      </c>
    </row>
    <row r="21" customFormat="false" ht="15" hidden="false" customHeight="false" outlineLevel="0" collapsed="false">
      <c r="A21" s="25" t="s">
        <v>72</v>
      </c>
      <c r="B21" s="26" t="n">
        <v>2.57</v>
      </c>
      <c r="C21" s="26" t="n">
        <v>2.12</v>
      </c>
      <c r="D21" s="26" t="n">
        <v>2.05</v>
      </c>
      <c r="E21" s="26" t="n">
        <v>2.57</v>
      </c>
      <c r="F21" s="26" t="n">
        <v>1.95</v>
      </c>
      <c r="G21" s="26" t="n">
        <v>2.53</v>
      </c>
      <c r="H21" s="26" t="n">
        <v>2.15</v>
      </c>
      <c r="I21" s="26" t="n">
        <v>2.57</v>
      </c>
      <c r="J21" s="26" t="n">
        <v>2.46</v>
      </c>
    </row>
    <row r="22" customFormat="false" ht="15" hidden="false" customHeight="false" outlineLevel="0" collapsed="false">
      <c r="A22" s="25" t="s">
        <v>73</v>
      </c>
      <c r="B22" s="26" t="n">
        <v>2.57</v>
      </c>
      <c r="C22" s="26" t="n">
        <v>1.74</v>
      </c>
      <c r="D22" s="26" t="n">
        <v>1.81</v>
      </c>
      <c r="E22" s="26" t="n">
        <v>2.57</v>
      </c>
      <c r="F22" s="26" t="n">
        <v>1.84</v>
      </c>
      <c r="G22" s="26" t="n">
        <v>2.05</v>
      </c>
      <c r="H22" s="26" t="n">
        <v>1.71</v>
      </c>
      <c r="I22" s="26" t="n">
        <v>2.57</v>
      </c>
      <c r="J22" s="26" t="n">
        <v>1.95</v>
      </c>
    </row>
    <row r="23" customFormat="false" ht="15" hidden="false" customHeight="false" outlineLevel="0" collapsed="false">
      <c r="A23" s="25" t="s">
        <v>74</v>
      </c>
      <c r="B23" s="26" t="n">
        <v>2.57</v>
      </c>
      <c r="C23" s="26" t="n">
        <v>1.53</v>
      </c>
      <c r="D23" s="26" t="n">
        <v>1.64</v>
      </c>
      <c r="E23" s="26" t="n">
        <v>2.57</v>
      </c>
      <c r="F23" s="26" t="n">
        <v>1.71</v>
      </c>
      <c r="G23" s="26" t="n">
        <v>1.84</v>
      </c>
      <c r="H23" s="26" t="n">
        <v>1.53</v>
      </c>
      <c r="I23" s="26" t="n">
        <v>2.36</v>
      </c>
      <c r="J23" s="26" t="n">
        <v>1.84</v>
      </c>
    </row>
    <row r="24" customFormat="false" ht="15" hidden="false" customHeight="false" outlineLevel="0" collapsed="false">
      <c r="A24" s="25" t="s">
        <v>75</v>
      </c>
      <c r="B24" s="26" t="n">
        <v>2.29</v>
      </c>
      <c r="C24" s="26" t="n">
        <v>1.36</v>
      </c>
      <c r="D24" s="26" t="n">
        <v>1.5</v>
      </c>
      <c r="E24" s="26" t="n">
        <v>2.46</v>
      </c>
      <c r="F24" s="26" t="n">
        <v>1.64</v>
      </c>
      <c r="G24" s="26" t="n">
        <v>1.64</v>
      </c>
      <c r="H24" s="26" t="n">
        <v>1.43</v>
      </c>
      <c r="I24" s="26" t="n">
        <v>2.29</v>
      </c>
      <c r="J24" s="26" t="n">
        <v>1.6</v>
      </c>
    </row>
    <row r="25" customFormat="false" ht="15" hidden="false" customHeight="false" outlineLevel="0" collapsed="false">
      <c r="A25" s="25" t="s">
        <v>76</v>
      </c>
      <c r="B25" s="26" t="n">
        <v>2.57</v>
      </c>
      <c r="C25" s="26" t="n">
        <v>1.57</v>
      </c>
      <c r="D25" s="26" t="n">
        <v>1.77</v>
      </c>
      <c r="E25" s="26" t="n">
        <v>2.57</v>
      </c>
      <c r="F25" s="26" t="n">
        <v>1.91</v>
      </c>
      <c r="G25" s="26" t="n">
        <v>1.95</v>
      </c>
      <c r="H25" s="26" t="n">
        <v>1.71</v>
      </c>
      <c r="I25" s="26" t="n">
        <v>2.57</v>
      </c>
      <c r="J25" s="26" t="n">
        <v>1.95</v>
      </c>
    </row>
    <row r="26" customFormat="false" ht="15" hidden="false" customHeight="false" outlineLevel="0" collapsed="false">
      <c r="A26" s="25" t="s">
        <v>77</v>
      </c>
      <c r="B26" s="26" t="n">
        <v>2.57</v>
      </c>
      <c r="C26" s="26" t="n">
        <v>1.53</v>
      </c>
      <c r="D26" s="26" t="n">
        <v>1.95</v>
      </c>
      <c r="E26" s="26" t="n">
        <v>2.53</v>
      </c>
      <c r="F26" s="26" t="n">
        <v>1.77</v>
      </c>
      <c r="G26" s="26" t="n">
        <v>1.95</v>
      </c>
      <c r="H26" s="26" t="n">
        <v>1.84</v>
      </c>
      <c r="I26" s="26" t="n">
        <v>2.57</v>
      </c>
      <c r="J26" s="26" t="n">
        <v>1.57</v>
      </c>
    </row>
    <row r="27" customFormat="false" ht="15" hidden="false" customHeight="false" outlineLevel="0" collapsed="false">
      <c r="A27" s="25" t="s">
        <v>78</v>
      </c>
      <c r="B27" s="26" t="n">
        <v>2.57</v>
      </c>
      <c r="C27" s="26" t="n">
        <v>1.84</v>
      </c>
      <c r="D27" s="26" t="n">
        <v>2.29</v>
      </c>
      <c r="E27" s="26" t="n">
        <v>2.57</v>
      </c>
      <c r="F27" s="26" t="n">
        <v>2.02</v>
      </c>
      <c r="G27" s="26" t="n">
        <v>2.29</v>
      </c>
      <c r="H27" s="26" t="n">
        <v>2.19</v>
      </c>
      <c r="I27" s="26" t="n">
        <v>2.57</v>
      </c>
      <c r="J27" s="26" t="n">
        <v>1.77</v>
      </c>
    </row>
    <row r="28" customFormat="false" ht="15" hidden="false" customHeight="false" outlineLevel="0" collapsed="false">
      <c r="A28" s="25" t="s">
        <v>79</v>
      </c>
      <c r="B28" s="26" t="n">
        <v>2.57</v>
      </c>
      <c r="C28" s="26" t="n">
        <v>1.4</v>
      </c>
      <c r="D28" s="26" t="n">
        <v>1.71</v>
      </c>
      <c r="E28" s="26" t="n">
        <v>2.05</v>
      </c>
      <c r="F28" s="26" t="n">
        <v>1.6</v>
      </c>
      <c r="G28" s="26" t="n">
        <v>1.71</v>
      </c>
      <c r="H28" s="26" t="n">
        <v>1.67</v>
      </c>
      <c r="I28" s="26" t="n">
        <v>2.22</v>
      </c>
      <c r="J28" s="26" t="n">
        <v>1.57</v>
      </c>
    </row>
    <row r="29" customFormat="false" ht="15" hidden="false" customHeight="false" outlineLevel="0" collapsed="false">
      <c r="A29" s="25" t="s">
        <v>80</v>
      </c>
      <c r="B29" s="26" t="n">
        <v>1.36</v>
      </c>
      <c r="C29" s="26" t="n">
        <v>0.78</v>
      </c>
      <c r="D29" s="26" t="n">
        <v>0.85</v>
      </c>
      <c r="E29" s="26" t="n">
        <v>0.88</v>
      </c>
      <c r="F29" s="26" t="n">
        <v>0.85</v>
      </c>
      <c r="G29" s="26" t="n">
        <v>0.85</v>
      </c>
      <c r="H29" s="26" t="n">
        <v>0.85</v>
      </c>
      <c r="I29" s="26" t="n">
        <v>1.19</v>
      </c>
      <c r="J29" s="26" t="n">
        <v>0.85</v>
      </c>
    </row>
    <row r="30" customFormat="false" ht="15" hidden="false" customHeight="false" outlineLevel="0" collapsed="false">
      <c r="A30" s="25" t="s">
        <v>81</v>
      </c>
      <c r="B30" s="26" t="n">
        <v>1.53</v>
      </c>
      <c r="C30" s="26" t="n">
        <v>0.78</v>
      </c>
      <c r="D30" s="26" t="n">
        <v>0.92</v>
      </c>
      <c r="E30" s="26" t="n">
        <v>0.78</v>
      </c>
      <c r="F30" s="26" t="n">
        <v>0.92</v>
      </c>
      <c r="G30" s="26" t="n">
        <v>0.85</v>
      </c>
      <c r="H30" s="26" t="n">
        <v>0.85</v>
      </c>
      <c r="I30" s="26" t="n">
        <v>0.92</v>
      </c>
      <c r="J30" s="26" t="n">
        <v>1.02</v>
      </c>
    </row>
    <row r="31" customFormat="false" ht="15" hidden="false" customHeight="false" outlineLevel="0" collapsed="false">
      <c r="A31" s="25" t="s">
        <v>82</v>
      </c>
      <c r="B31" s="26" t="n">
        <v>2.57</v>
      </c>
      <c r="C31" s="26" t="n">
        <v>1.74</v>
      </c>
      <c r="D31" s="26" t="n">
        <v>1.88</v>
      </c>
      <c r="E31" s="26" t="n">
        <v>2.57</v>
      </c>
      <c r="F31" s="26" t="n">
        <v>2.02</v>
      </c>
      <c r="G31" s="26" t="n">
        <v>2.02</v>
      </c>
      <c r="H31" s="26" t="n">
        <v>1.84</v>
      </c>
      <c r="I31" s="26" t="n">
        <v>2.57</v>
      </c>
      <c r="J31" s="26" t="n">
        <v>1.84</v>
      </c>
    </row>
    <row r="32" customFormat="false" ht="15" hidden="false" customHeight="false" outlineLevel="0" collapsed="false">
      <c r="A32" s="25" t="s">
        <v>83</v>
      </c>
      <c r="B32" s="26" t="n">
        <v>2.57</v>
      </c>
      <c r="C32" s="26" t="n">
        <v>1.6</v>
      </c>
      <c r="D32" s="26" t="n">
        <v>1.84</v>
      </c>
      <c r="E32" s="26" t="n">
        <v>2.57</v>
      </c>
      <c r="F32" s="26" t="n">
        <v>1.84</v>
      </c>
      <c r="G32" s="26" t="n">
        <v>1.95</v>
      </c>
      <c r="H32" s="26" t="n">
        <v>1.71</v>
      </c>
      <c r="I32" s="26" t="n">
        <v>2.57</v>
      </c>
      <c r="J32" s="26" t="n">
        <v>1.95</v>
      </c>
    </row>
    <row r="35" customFormat="false" ht="15" hidden="false" customHeight="false" outlineLevel="0" collapsed="false">
      <c r="A35" s="24" t="s">
        <v>115</v>
      </c>
    </row>
    <row r="36" customFormat="false" ht="15" hidden="false" customHeight="false" outlineLevel="0" collapsed="false">
      <c r="A36" s="20" t="s">
        <v>116</v>
      </c>
    </row>
    <row r="37" customFormat="false" ht="15" hidden="false" customHeight="false" outlineLevel="0" collapsed="false">
      <c r="A37" s="14" t="s">
        <v>61</v>
      </c>
      <c r="B37" s="14" t="s">
        <v>95</v>
      </c>
      <c r="C37" s="14" t="s">
        <v>97</v>
      </c>
      <c r="D37" s="14" t="s">
        <v>99</v>
      </c>
      <c r="E37" s="14" t="s">
        <v>101</v>
      </c>
      <c r="F37" s="14" t="s">
        <v>103</v>
      </c>
      <c r="G37" s="14" t="s">
        <v>105</v>
      </c>
      <c r="H37" s="14" t="s">
        <v>107</v>
      </c>
      <c r="I37" s="14" t="s">
        <v>109</v>
      </c>
      <c r="J37" s="14" t="s">
        <v>111</v>
      </c>
    </row>
    <row r="38" customFormat="false" ht="15" hidden="false" customHeight="false" outlineLevel="0" collapsed="false">
      <c r="A38" s="25" t="s">
        <v>67</v>
      </c>
      <c r="B38" s="26" t="n">
        <v>1.6</v>
      </c>
      <c r="C38" s="26" t="n">
        <v>0.87</v>
      </c>
      <c r="D38" s="26" t="n">
        <v>1.03</v>
      </c>
      <c r="E38" s="26" t="n">
        <v>0.84</v>
      </c>
      <c r="F38" s="26" t="n">
        <v>1</v>
      </c>
      <c r="G38" s="26" t="n">
        <v>0.96</v>
      </c>
      <c r="H38" s="26" t="n">
        <v>0.96</v>
      </c>
      <c r="I38" s="26" t="n">
        <v>1.06</v>
      </c>
      <c r="J38" s="26" t="n">
        <v>1.03</v>
      </c>
    </row>
    <row r="39" customFormat="false" ht="15" hidden="false" customHeight="false" outlineLevel="0" collapsed="false">
      <c r="A39" s="25" t="s">
        <v>71</v>
      </c>
      <c r="B39" s="26" t="n">
        <v>1.42</v>
      </c>
      <c r="C39" s="26" t="n">
        <v>0.87</v>
      </c>
      <c r="D39" s="26" t="n">
        <v>1</v>
      </c>
      <c r="E39" s="26" t="n">
        <v>1.21</v>
      </c>
      <c r="F39" s="26" t="n">
        <v>0.96</v>
      </c>
      <c r="G39" s="26" t="n">
        <v>1.02</v>
      </c>
      <c r="H39" s="26" t="n">
        <v>0.94</v>
      </c>
      <c r="I39" s="26" t="n">
        <v>1.42</v>
      </c>
      <c r="J39" s="26" t="n">
        <v>0.92</v>
      </c>
    </row>
    <row r="40" customFormat="false" ht="15" hidden="false" customHeight="false" outlineLevel="0" collapsed="false">
      <c r="A40" s="25" t="s">
        <v>72</v>
      </c>
      <c r="B40" s="26" t="n">
        <v>1.04</v>
      </c>
      <c r="C40" s="26" t="n">
        <v>0.86</v>
      </c>
      <c r="D40" s="26" t="n">
        <v>0.83</v>
      </c>
      <c r="E40" s="26" t="n">
        <v>1.04</v>
      </c>
      <c r="F40" s="26" t="n">
        <v>0.79</v>
      </c>
      <c r="G40" s="26" t="n">
        <v>1.03</v>
      </c>
      <c r="H40" s="26" t="n">
        <v>0.87</v>
      </c>
      <c r="I40" s="26" t="n">
        <v>1.04</v>
      </c>
      <c r="J40" s="26" t="n">
        <v>1</v>
      </c>
    </row>
    <row r="41" customFormat="false" ht="15" hidden="false" customHeight="false" outlineLevel="0" collapsed="false">
      <c r="A41" s="25" t="s">
        <v>73</v>
      </c>
      <c r="B41" s="26" t="n">
        <v>1.32</v>
      </c>
      <c r="C41" s="26" t="n">
        <v>0.89</v>
      </c>
      <c r="D41" s="26" t="n">
        <v>0.93</v>
      </c>
      <c r="E41" s="26" t="n">
        <v>1.32</v>
      </c>
      <c r="F41" s="26" t="n">
        <v>0.94</v>
      </c>
      <c r="G41" s="26" t="n">
        <v>1.05</v>
      </c>
      <c r="H41" s="26" t="n">
        <v>0.88</v>
      </c>
      <c r="I41" s="26" t="n">
        <v>1.32</v>
      </c>
      <c r="J41" s="26" t="n">
        <v>1</v>
      </c>
    </row>
    <row r="42" customFormat="false" ht="15" hidden="false" customHeight="false" outlineLevel="0" collapsed="false">
      <c r="A42" s="25" t="s">
        <v>74</v>
      </c>
      <c r="B42" s="26" t="n">
        <v>1.4</v>
      </c>
      <c r="C42" s="26" t="n">
        <v>0.83</v>
      </c>
      <c r="D42" s="26" t="n">
        <v>0.89</v>
      </c>
      <c r="E42" s="26" t="n">
        <v>1.4</v>
      </c>
      <c r="F42" s="26" t="n">
        <v>0.93</v>
      </c>
      <c r="G42" s="26" t="n">
        <v>1</v>
      </c>
      <c r="H42" s="26" t="n">
        <v>0.83</v>
      </c>
      <c r="I42" s="26" t="n">
        <v>1.28</v>
      </c>
      <c r="J42" s="26" t="n">
        <v>1</v>
      </c>
    </row>
    <row r="43" customFormat="false" ht="15" hidden="false" customHeight="false" outlineLevel="0" collapsed="false">
      <c r="A43" s="25" t="s">
        <v>75</v>
      </c>
      <c r="B43" s="26" t="n">
        <v>1.4</v>
      </c>
      <c r="C43" s="26" t="n">
        <v>0.83</v>
      </c>
      <c r="D43" s="26" t="n">
        <v>0.91</v>
      </c>
      <c r="E43" s="26" t="n">
        <v>1.5</v>
      </c>
      <c r="F43" s="26" t="n">
        <v>1</v>
      </c>
      <c r="G43" s="26" t="n">
        <v>1</v>
      </c>
      <c r="H43" s="26" t="n">
        <v>0.87</v>
      </c>
      <c r="I43" s="26" t="n">
        <v>1.4</v>
      </c>
      <c r="J43" s="26" t="n">
        <v>0.98</v>
      </c>
    </row>
    <row r="44" customFormat="false" ht="15" hidden="false" customHeight="false" outlineLevel="0" collapsed="false">
      <c r="A44" s="25" t="s">
        <v>76</v>
      </c>
      <c r="B44" s="26" t="n">
        <v>1.32</v>
      </c>
      <c r="C44" s="26" t="n">
        <v>0.81</v>
      </c>
      <c r="D44" s="26" t="n">
        <v>0.91</v>
      </c>
      <c r="E44" s="26" t="n">
        <v>1.32</v>
      </c>
      <c r="F44" s="26" t="n">
        <v>0.98</v>
      </c>
      <c r="G44" s="26" t="n">
        <v>1</v>
      </c>
      <c r="H44" s="26" t="n">
        <v>0.88</v>
      </c>
      <c r="I44" s="26" t="n">
        <v>1.32</v>
      </c>
      <c r="J44" s="26" t="n">
        <v>1</v>
      </c>
    </row>
    <row r="45" customFormat="false" ht="15" hidden="false" customHeight="false" outlineLevel="0" collapsed="false">
      <c r="A45" s="25" t="s">
        <v>77</v>
      </c>
      <c r="B45" s="26" t="n">
        <v>1.32</v>
      </c>
      <c r="C45" s="26" t="n">
        <v>0.78</v>
      </c>
      <c r="D45" s="26" t="n">
        <v>1</v>
      </c>
      <c r="E45" s="26" t="n">
        <v>1.3</v>
      </c>
      <c r="F45" s="26" t="n">
        <v>0.91</v>
      </c>
      <c r="G45" s="26" t="n">
        <v>1</v>
      </c>
      <c r="H45" s="26" t="n">
        <v>0.94</v>
      </c>
      <c r="I45" s="26" t="n">
        <v>1.32</v>
      </c>
      <c r="J45" s="26" t="n">
        <v>0.81</v>
      </c>
    </row>
    <row r="46" customFormat="false" ht="15" hidden="false" customHeight="false" outlineLevel="0" collapsed="false">
      <c r="A46" s="25" t="s">
        <v>78</v>
      </c>
      <c r="B46" s="26" t="n">
        <v>1.12</v>
      </c>
      <c r="C46" s="26" t="n">
        <v>0.8</v>
      </c>
      <c r="D46" s="26" t="n">
        <v>1</v>
      </c>
      <c r="E46" s="26" t="n">
        <v>1.12</v>
      </c>
      <c r="F46" s="26" t="n">
        <v>0.88</v>
      </c>
      <c r="G46" s="26" t="n">
        <v>1</v>
      </c>
      <c r="H46" s="26" t="n">
        <v>0.96</v>
      </c>
      <c r="I46" s="26" t="n">
        <v>1.12</v>
      </c>
      <c r="J46" s="26" t="n">
        <v>0.77</v>
      </c>
    </row>
    <row r="47" customFormat="false" ht="15" hidden="false" customHeight="false" outlineLevel="0" collapsed="false">
      <c r="A47" s="25" t="s">
        <v>79</v>
      </c>
      <c r="B47" s="26" t="n">
        <v>1.5</v>
      </c>
      <c r="C47" s="26" t="n">
        <v>0.82</v>
      </c>
      <c r="D47" s="26" t="n">
        <v>1</v>
      </c>
      <c r="E47" s="26" t="n">
        <v>1.2</v>
      </c>
      <c r="F47" s="26" t="n">
        <v>0.94</v>
      </c>
      <c r="G47" s="26" t="n">
        <v>1</v>
      </c>
      <c r="H47" s="26" t="n">
        <v>0.98</v>
      </c>
      <c r="I47" s="26" t="n">
        <v>1.3</v>
      </c>
      <c r="J47" s="26" t="n">
        <v>0.92</v>
      </c>
    </row>
    <row r="48" customFormat="false" ht="15" hidden="false" customHeight="false" outlineLevel="0" collapsed="false">
      <c r="A48" s="25" t="s">
        <v>80</v>
      </c>
      <c r="B48" s="26" t="n">
        <v>1.6</v>
      </c>
      <c r="C48" s="26" t="n">
        <v>0.92</v>
      </c>
      <c r="D48" s="26" t="n">
        <v>1</v>
      </c>
      <c r="E48" s="26" t="n">
        <v>1.04</v>
      </c>
      <c r="F48" s="26" t="n">
        <v>1</v>
      </c>
      <c r="G48" s="26" t="n">
        <v>1</v>
      </c>
      <c r="H48" s="26" t="n">
        <v>1</v>
      </c>
      <c r="I48" s="26" t="n">
        <v>1.4</v>
      </c>
      <c r="J48" s="26" t="n">
        <v>1</v>
      </c>
    </row>
    <row r="49" customFormat="false" ht="15" hidden="false" customHeight="false" outlineLevel="0" collapsed="false">
      <c r="A49" s="25" t="s">
        <v>81</v>
      </c>
      <c r="B49" s="26" t="n">
        <v>1.66</v>
      </c>
      <c r="C49" s="26" t="n">
        <v>0.85</v>
      </c>
      <c r="D49" s="26" t="n">
        <v>1</v>
      </c>
      <c r="E49" s="26" t="n">
        <v>0.85</v>
      </c>
      <c r="F49" s="26" t="n">
        <v>1</v>
      </c>
      <c r="G49" s="26" t="n">
        <v>0.92</v>
      </c>
      <c r="H49" s="26" t="n">
        <v>0.92</v>
      </c>
      <c r="I49" s="26" t="n">
        <v>1</v>
      </c>
      <c r="J49" s="26" t="n">
        <v>1.11</v>
      </c>
    </row>
    <row r="50" customFormat="false" ht="15" hidden="false" customHeight="false" outlineLevel="0" collapsed="false">
      <c r="A50" s="25" t="s">
        <v>82</v>
      </c>
      <c r="B50" s="26" t="n">
        <v>1.27</v>
      </c>
      <c r="C50" s="26" t="n">
        <v>0.86</v>
      </c>
      <c r="D50" s="26" t="n">
        <v>0.93</v>
      </c>
      <c r="E50" s="26" t="n">
        <v>1.27</v>
      </c>
      <c r="F50" s="26" t="n">
        <v>1</v>
      </c>
      <c r="G50" s="26" t="n">
        <v>1</v>
      </c>
      <c r="H50" s="26" t="n">
        <v>0.91</v>
      </c>
      <c r="I50" s="26" t="n">
        <v>1.27</v>
      </c>
      <c r="J50" s="26" t="n">
        <v>0.91</v>
      </c>
    </row>
    <row r="51" customFormat="false" ht="15" hidden="false" customHeight="false" outlineLevel="0" collapsed="false">
      <c r="A51" s="25" t="s">
        <v>83</v>
      </c>
      <c r="B51" s="26" t="n">
        <v>1.32</v>
      </c>
      <c r="C51" s="26" t="n">
        <v>0.82</v>
      </c>
      <c r="D51" s="26" t="n">
        <v>0.94</v>
      </c>
      <c r="E51" s="26" t="n">
        <v>1.32</v>
      </c>
      <c r="F51" s="26" t="n">
        <v>0.94</v>
      </c>
      <c r="G51" s="26" t="n">
        <v>1</v>
      </c>
      <c r="H51" s="26" t="n">
        <v>0.88</v>
      </c>
      <c r="I51" s="26" t="n">
        <v>1.32</v>
      </c>
      <c r="J51" s="26" t="n">
        <v>1</v>
      </c>
    </row>
  </sheetData>
  <conditionalFormatting sqref="B38:J51">
    <cfRule type="colorScale" priority="2">
      <colorScale>
        <cfvo type="num" val="0.55"/>
        <cfvo type="num" val="1"/>
        <cfvo type="num" val="1.45"/>
        <color rgb="FFE8867F"/>
        <color rgb="FFFFFFFF"/>
        <color rgb="FF8FBF7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17"/>
  </cols>
  <sheetData>
    <row r="1" customFormat="false" ht="17.25" hidden="false" customHeight="true" outlineLevel="0" collapsed="false">
      <c r="A1" s="9" t="s">
        <v>117</v>
      </c>
    </row>
    <row r="2" customFormat="false" ht="15" hidden="false" customHeight="true" outlineLevel="0" collapsed="false">
      <c r="A2" s="7" t="s">
        <v>118</v>
      </c>
    </row>
    <row r="4" customFormat="false" ht="15" hidden="false" customHeight="true" outlineLevel="0" collapsed="false">
      <c r="A4" s="2" t="s">
        <v>119</v>
      </c>
    </row>
    <row r="5" customFormat="false" ht="15" hidden="false" customHeight="true" outlineLevel="0" collapsed="false">
      <c r="A5" s="7" t="s">
        <v>120</v>
      </c>
    </row>
    <row r="6" customFormat="false" ht="15" hidden="false" customHeight="true" outlineLevel="0" collapsed="false">
      <c r="B6" s="14" t="s">
        <v>121</v>
      </c>
      <c r="C6" s="14" t="s">
        <v>122</v>
      </c>
      <c r="D6" s="14" t="s">
        <v>123</v>
      </c>
    </row>
    <row r="7" customFormat="false" ht="15" hidden="false" customHeight="true" outlineLevel="0" collapsed="false">
      <c r="A7" s="15" t="s">
        <v>124</v>
      </c>
      <c r="B7" s="13" t="str">
        <f aca="false">IFERROR(AVERAGEIFS(Results!$N$2:$N$241,Results!$A$2:$A$241,"aoe",Results!$B$2:$B$241,3,Results!$C$2:$C$241,20)&amp;" / "&amp;TEXT(AVERAGEIFS(Results!$F$2:$F$241,Results!$A$2:$A$241,"aoe",Results!$B$2:$B$241,3,Results!$C$2:$C$241,20),"0.0")&amp;"%","")</f>
        <v>1.67115833333333 / 99.0%</v>
      </c>
      <c r="C7" s="13" t="str">
        <f aca="false">IFERROR(AVERAGEIFS(Results!$N$2:$N$241,Results!$A$2:$A$241,"aoe",Results!$B$2:$B$241,6,Results!$C$2:$C$241,20)&amp;" / "&amp;TEXT(AVERAGEIFS(Results!$F$2:$F$241,Results!$A$2:$A$241,"aoe",Results!$B$2:$B$241,6,Results!$C$2:$C$241,20),"0.0")&amp;"%","")</f>
        <v>1.279525 / 98.6%</v>
      </c>
      <c r="D7" s="13" t="str">
        <f aca="false">IFERROR(AVERAGEIFS(Results!$N$2:$N$241,Results!$A$2:$A$241,"aoe",Results!$B$2:$B$241,9,Results!$C$2:$C$241,20)&amp;" / "&amp;TEXT(AVERAGEIFS(Results!$F$2:$F$241,Results!$A$2:$A$241,"aoe",Results!$B$2:$B$241,9,Results!$C$2:$C$241,20),"0.0")&amp;"%","")</f>
        <v>1.22863333333333 / 96.7%</v>
      </c>
    </row>
    <row r="8" customFormat="false" ht="15" hidden="false" customHeight="true" outlineLevel="0" collapsed="false">
      <c r="A8" s="15" t="s">
        <v>125</v>
      </c>
      <c r="B8" s="13" t="str">
        <f aca="false">IFERROR(AVERAGEIFS(Results!$N$2:$N$241,Results!$A$2:$A$241,"single",Results!$B$2:$B$241,3,Results!$C$2:$C$241,20)&amp;" / "&amp;TEXT(AVERAGEIFS(Results!$F$2:$F$241,Results!$A$2:$A$241,"single",Results!$B$2:$B$241,3,Results!$C$2:$C$241,20),"0.0")&amp;"%","")</f>
        <v>1.5097 / 0.0%</v>
      </c>
      <c r="C8" s="13" t="str">
        <f aca="false">IFERROR(AVERAGEIFS(Results!$N$2:$N$241,Results!$A$2:$A$241,"single",Results!$B$2:$B$241,6,Results!$C$2:$C$241,20)&amp;" / "&amp;TEXT(AVERAGEIFS(Results!$F$2:$F$241,Results!$A$2:$A$241,"single",Results!$B$2:$B$241,6,Results!$C$2:$C$241,20),"0.0")&amp;"%","")</f>
        <v>1.30613333333333 / 0.0%</v>
      </c>
      <c r="D8" s="13" t="str">
        <f aca="false">IFERROR(AVERAGEIFS(Results!$N$2:$N$241,Results!$A$2:$A$241,"single",Results!$B$2:$B$241,9,Results!$C$2:$C$241,20)&amp;" / "&amp;TEXT(AVERAGEIFS(Results!$F$2:$F$241,Results!$A$2:$A$241,"single",Results!$B$2:$B$241,9,Results!$C$2:$C$241,20),"0.0")&amp;"%","")</f>
        <v>1.37795 / 0.4%</v>
      </c>
    </row>
    <row r="9" customFormat="false" ht="15" hidden="false" customHeight="true" outlineLevel="0" collapsed="false">
      <c r="A9" s="15" t="s">
        <v>126</v>
      </c>
      <c r="B9" s="13" t="str">
        <f aca="false">IFERROR(AVERAGEIFS(Results!$N$2:$N$241,Results!$A$2:$A$241,"mixed",Results!$B$2:$B$241,3,Results!$C$2:$C$241,20)&amp;" / "&amp;TEXT(AVERAGEIFS(Results!$F$2:$F$241,Results!$A$2:$A$241,"mixed",Results!$B$2:$B$241,3,Results!$C$2:$C$241,20),"0.0")&amp;"%","")</f>
        <v>1.96720833333333 / 46.3%</v>
      </c>
      <c r="C9" s="13" t="str">
        <f aca="false">IFERROR(AVERAGEIFS(Results!$N$2:$N$241,Results!$A$2:$A$241,"mixed",Results!$B$2:$B$241,6,Results!$C$2:$C$241,20)&amp;" / "&amp;TEXT(AVERAGEIFS(Results!$F$2:$F$241,Results!$A$2:$A$241,"mixed",Results!$B$2:$B$241,6,Results!$C$2:$C$241,20),"0.0")&amp;"%","")</f>
        <v>1.57195833333333 / 11.6%</v>
      </c>
      <c r="D9" s="13" t="str">
        <f aca="false">IFERROR(AVERAGEIFS(Results!$N$2:$N$241,Results!$A$2:$A$241,"mixed",Results!$B$2:$B$241,9,Results!$C$2:$C$241,20)&amp;" / "&amp;TEXT(AVERAGEIFS(Results!$F$2:$F$241,Results!$A$2:$A$241,"mixed",Results!$B$2:$B$241,9,Results!$C$2:$C$241,20),"0.0")&amp;"%","")</f>
        <v>1.51615833333333 / 23.6%</v>
      </c>
    </row>
    <row r="12" customFormat="false" ht="15" hidden="false" customHeight="true" outlineLevel="0" collapsed="false">
      <c r="A12" s="2" t="s">
        <v>127</v>
      </c>
    </row>
    <row r="13" customFormat="false" ht="15" hidden="false" customHeight="true" outlineLevel="0" collapsed="false">
      <c r="A13" s="7" t="s">
        <v>128</v>
      </c>
    </row>
    <row r="14" customFormat="false" ht="15" hidden="false" customHeight="true" outlineLevel="0" collapsed="false">
      <c r="B14" s="14" t="s">
        <v>129</v>
      </c>
      <c r="C14" s="14" t="s">
        <v>130</v>
      </c>
      <c r="D14" s="14" t="s">
        <v>131</v>
      </c>
    </row>
    <row r="15" customFormat="false" ht="15" hidden="false" customHeight="true" outlineLevel="0" collapsed="false">
      <c r="A15" s="15" t="s">
        <v>124</v>
      </c>
      <c r="B15" s="13" t="str">
        <f aca="false">IFERROR(AVERAGEIFS(Results!$F$2:$F$241,Results!$A$2:$A$241,"aoe",Results!$B$2:$B$241,9,Results!$C$2:$C$241,6),"")</f>
        <v/>
      </c>
      <c r="C15" s="13" t="n">
        <f aca="false">IFERROR(AVERAGEIFS(Results!$F$2:$F$241,Results!$A$2:$A$241,"aoe",Results!$B$2:$B$241,9,Results!$C$2:$C$241,12),"")</f>
        <v>100</v>
      </c>
      <c r="D15" s="13" t="n">
        <f aca="false">IFERROR(AVERAGEIFS(Results!$F$2:$F$241,Results!$A$2:$A$241,"aoe",Results!$B$2:$B$241,9,Results!$C$2:$C$241,20),"")</f>
        <v>96.68</v>
      </c>
    </row>
    <row r="16" customFormat="false" ht="15" hidden="false" customHeight="true" outlineLevel="0" collapsed="false">
      <c r="A16" s="15" t="s">
        <v>125</v>
      </c>
      <c r="B16" s="13" t="str">
        <f aca="false">IFERROR(AVERAGEIFS(Results!$F$2:$F$241,Results!$A$2:$A$241,"single",Results!$B$2:$B$241,9,Results!$C$2:$C$241,6),"")</f>
        <v/>
      </c>
      <c r="C16" s="13" t="n">
        <f aca="false">IFERROR(AVERAGEIFS(Results!$F$2:$F$241,Results!$A$2:$A$241,"single",Results!$B$2:$B$241,9,Results!$C$2:$C$241,12),"")</f>
        <v>34.24</v>
      </c>
      <c r="D16" s="13" t="n">
        <f aca="false">IFERROR(AVERAGEIFS(Results!$F$2:$F$241,Results!$A$2:$A$241,"single",Results!$B$2:$B$241,9,Results!$C$2:$C$241,20),"")</f>
        <v>0.44</v>
      </c>
    </row>
    <row r="17" customFormat="false" ht="15" hidden="false" customHeight="true" outlineLevel="0" collapsed="false">
      <c r="A17" s="15" t="s">
        <v>126</v>
      </c>
      <c r="B17" s="13" t="str">
        <f aca="false">IFERROR(AVERAGEIFS(Results!$F$2:$F$241,Results!$A$2:$A$241,"mixed",Results!$B$2:$B$241,9,Results!$C$2:$C$241,6),"")</f>
        <v/>
      </c>
      <c r="C17" s="13" t="n">
        <f aca="false">IFERROR(AVERAGEIFS(Results!$F$2:$F$241,Results!$A$2:$A$241,"mixed",Results!$B$2:$B$241,9,Results!$C$2:$C$241,12),"")</f>
        <v>91.6</v>
      </c>
      <c r="D17" s="13" t="n">
        <f aca="false">IFERROR(AVERAGEIFS(Results!$F$2:$F$241,Results!$A$2:$A$241,"mixed",Results!$B$2:$B$241,9,Results!$C$2:$C$241,20),"")</f>
        <v>23.56</v>
      </c>
    </row>
    <row r="20" customFormat="false" ht="15" hidden="false" customHeight="true" outlineLevel="0" collapsed="false">
      <c r="A20" s="2" t="s">
        <v>132</v>
      </c>
    </row>
    <row r="21" customFormat="false" ht="15" hidden="false" customHeight="true" outlineLevel="0" collapsed="false">
      <c r="A21" s="7" t="s">
        <v>133</v>
      </c>
    </row>
    <row r="22" customFormat="false" ht="15" hidden="false" customHeight="true" outlineLevel="0" collapsed="false">
      <c r="B22" s="14" t="s">
        <v>134</v>
      </c>
      <c r="C22" s="14" t="s">
        <v>135</v>
      </c>
      <c r="D22" s="14" t="s">
        <v>136</v>
      </c>
      <c r="E22" s="14" t="s">
        <v>137</v>
      </c>
    </row>
    <row r="23" customFormat="false" ht="15" hidden="false" customHeight="true" outlineLevel="0" collapsed="false">
      <c r="A23" s="15" t="s">
        <v>124</v>
      </c>
      <c r="B23" s="13" t="n">
        <f aca="false">IFERROR(AVERAGEIFS(Results!$F$2:$F$241,Results!$A$2:$A$241,"aoe",Results!$D$2:$D$241,"none"),"")</f>
        <v>95.85</v>
      </c>
      <c r="C23" s="13" t="n">
        <f aca="false">IFERROR(AVERAGEIFS(Results!$F$2:$F$241,Results!$A$2:$A$241,"aoe",Results!$D$2:$D$241,"cascade"),"")</f>
        <v>99</v>
      </c>
      <c r="D23" s="13" t="n">
        <f aca="false">IFERROR(AVERAGEIFS(Results!$F$2:$F$241,Results!$A$2:$A$241,"aoe",Results!$D$2:$D$241,"break"),"")</f>
        <v>100</v>
      </c>
      <c r="E23" s="13" t="n">
        <f aca="false">IFERROR(AVERAGEIFS(Results!$F$2:$F$241,Results!$A$2:$A$241,"aoe",Results!$D$2:$D$241,"detonation"),"")</f>
        <v>100</v>
      </c>
    </row>
    <row r="24" customFormat="false" ht="15" hidden="false" customHeight="true" outlineLevel="0" collapsed="false">
      <c r="A24" s="15" t="s">
        <v>125</v>
      </c>
      <c r="B24" s="13" t="n">
        <f aca="false">IFERROR(AVERAGEIFS(Results!$F$2:$F$241,Results!$A$2:$A$241,"single",Results!$D$2:$D$241,"none"),"")</f>
        <v>25</v>
      </c>
      <c r="C24" s="13" t="n">
        <f aca="false">IFERROR(AVERAGEIFS(Results!$F$2:$F$241,Results!$A$2:$A$241,"single",Results!$D$2:$D$241,"cascade"),"")</f>
        <v>25</v>
      </c>
      <c r="D24" s="13" t="n">
        <f aca="false">IFERROR(AVERAGEIFS(Results!$F$2:$F$241,Results!$A$2:$A$241,"single",Results!$D$2:$D$241,"break"),"")</f>
        <v>44.9833333333333</v>
      </c>
      <c r="E24" s="13" t="n">
        <f aca="false">IFERROR(AVERAGEIFS(Results!$F$2:$F$241,Results!$A$2:$A$241,"single",Results!$D$2:$D$241,"detonation"),"")</f>
        <v>56.5666666666667</v>
      </c>
    </row>
    <row r="25" customFormat="false" ht="15" hidden="false" customHeight="true" outlineLevel="0" collapsed="false">
      <c r="A25" s="15" t="s">
        <v>126</v>
      </c>
      <c r="B25" s="13" t="n">
        <f aca="false">IFERROR(AVERAGEIFS(Results!$F$2:$F$241,Results!$A$2:$A$241,"mixed",Results!$D$2:$D$241,"none"),"")</f>
        <v>49.7</v>
      </c>
      <c r="C25" s="13" t="n">
        <f aca="false">IFERROR(AVERAGEIFS(Results!$F$2:$F$241,Results!$A$2:$A$241,"mixed",Results!$D$2:$D$241,"cascade"),"")</f>
        <v>61.8833333333333</v>
      </c>
      <c r="D25" s="13" t="n">
        <f aca="false">IFERROR(AVERAGEIFS(Results!$F$2:$F$241,Results!$A$2:$A$241,"mixed",Results!$D$2:$D$241,"break"),"")</f>
        <v>80.3666666666667</v>
      </c>
      <c r="E25" s="13" t="n">
        <f aca="false">IFERROR(AVERAGEIFS(Results!$F$2:$F$241,Results!$A$2:$A$241,"mixed",Results!$D$2:$D$241,"detonation"),"")</f>
        <v>76.2833333333333</v>
      </c>
    </row>
    <row r="28" customFormat="false" ht="15" hidden="false" customHeight="true" outlineLevel="0" collapsed="false">
      <c r="A28" s="2" t="s">
        <v>138</v>
      </c>
    </row>
    <row r="29" customFormat="false" ht="15" hidden="false" customHeight="true" outlineLevel="0" collapsed="false">
      <c r="A29" s="7" t="s">
        <v>139</v>
      </c>
    </row>
    <row r="30" customFormat="false" ht="15" hidden="false" customHeight="true" outlineLevel="0" collapsed="false">
      <c r="B30" s="14" t="s">
        <v>140</v>
      </c>
      <c r="C30" s="14" t="s">
        <v>141</v>
      </c>
      <c r="D30" s="14" t="s">
        <v>142</v>
      </c>
    </row>
    <row r="31" customFormat="false" ht="15" hidden="false" customHeight="true" outlineLevel="0" collapsed="false">
      <c r="A31" s="15" t="s">
        <v>143</v>
      </c>
      <c r="B31" s="13" t="n">
        <f aca="false">IFERROR(AVERAGEIFS(Results!$F$2:$F$241,Results!$D$2:$D$241,"cascade",Results!$E$2:$E$241,2),"")</f>
        <v>60.5833333333333</v>
      </c>
      <c r="C31" s="13" t="n">
        <f aca="false">IFERROR(AVERAGEIFS(Results!$F$2:$F$241,Results!$D$2:$D$241,"cascade",Results!$E$2:$E$241,3),"")</f>
        <v>61.9333333333333</v>
      </c>
      <c r="D31" s="13" t="n">
        <f aca="false">IFERROR(AVERAGEIFS(Results!$F$2:$F$241,Results!$D$2:$D$241,"cascade",Results!$E$2:$E$241,4),"")</f>
        <v>63.3666666666667</v>
      </c>
    </row>
    <row r="32" customFormat="false" ht="15" hidden="false" customHeight="true" outlineLevel="0" collapsed="false">
      <c r="A32" s="15" t="s">
        <v>144</v>
      </c>
      <c r="B32" s="13" t="n">
        <f aca="false">IFERROR(AVERAGEIFS(Results!$F$2:$F$241,Results!$D$2:$D$241,"break",Results!$E$2:$E$241,2),"")</f>
        <v>69.9333333333333</v>
      </c>
      <c r="C32" s="13" t="n">
        <f aca="false">IFERROR(AVERAGEIFS(Results!$F$2:$F$241,Results!$D$2:$D$241,"break",Results!$E$2:$E$241,3),"")</f>
        <v>74.7</v>
      </c>
      <c r="D32" s="13" t="n">
        <f aca="false">IFERROR(AVERAGEIFS(Results!$F$2:$F$241,Results!$D$2:$D$241,"break",Results!$E$2:$E$241,4),"")</f>
        <v>80.7166666666667</v>
      </c>
    </row>
    <row r="33" customFormat="false" ht="15" hidden="false" customHeight="true" outlineLevel="0" collapsed="false">
      <c r="A33" s="15" t="s">
        <v>145</v>
      </c>
      <c r="B33" s="13" t="n">
        <f aca="false">IFERROR(AVERAGEIFS(Results!$F$2:$F$241,Results!$D$2:$D$241,"detonation",Results!$E$2:$E$241,2),"")</f>
        <v>74.7166666666667</v>
      </c>
      <c r="C33" s="13" t="n">
        <f aca="false">IFERROR(AVERAGEIFS(Results!$F$2:$F$241,Results!$D$2:$D$241,"detonation",Results!$E$2:$E$241,3),"")</f>
        <v>78.4166666666667</v>
      </c>
      <c r="D33" s="13" t="n">
        <f aca="false">IFERROR(AVERAGEIFS(Results!$F$2:$F$241,Results!$D$2:$D$241,"detonation",Results!$E$2:$E$241,4),"")</f>
        <v>79.7166666666667</v>
      </c>
    </row>
    <row r="36" customFormat="false" ht="15" hidden="false" customHeight="true" outlineLevel="0" collapsed="false">
      <c r="A36" s="2" t="s">
        <v>146</v>
      </c>
    </row>
    <row r="37" customFormat="false" ht="15" hidden="false" customHeight="true" outlineLevel="0" collapsed="false">
      <c r="A37" s="7" t="s">
        <v>147</v>
      </c>
    </row>
    <row r="38" customFormat="false" ht="15" hidden="false" customHeight="true" outlineLevel="0" collapsed="false">
      <c r="B38" s="14" t="s">
        <v>121</v>
      </c>
      <c r="C38" s="14" t="s">
        <v>122</v>
      </c>
      <c r="D38" s="14" t="s">
        <v>123</v>
      </c>
    </row>
    <row r="39" customFormat="false" ht="15" hidden="false" customHeight="true" outlineLevel="0" collapsed="false">
      <c r="A39" s="15" t="s">
        <v>124</v>
      </c>
      <c r="B39" s="13" t="n">
        <f aca="false">IFERROR(Parameters!$B$8/AVERAGEIFS(Results!$N$2:$N$241,Results!$A$2:$A$241,"aoe",Results!$B$2:$B$241,3,Results!$C$2:$C$241,20),"")</f>
        <v>28.124205266806</v>
      </c>
      <c r="C39" s="13" t="n">
        <f aca="false">IFERROR(Parameters!$B$8/AVERAGEIFS(Results!$N$2:$N$241,Results!$A$2:$A$241,"aoe",Results!$B$2:$B$241,6,Results!$C$2:$C$241,20),"")</f>
        <v>36.73238115707</v>
      </c>
      <c r="D39" s="13" t="n">
        <f aca="false">IFERROR(Parameters!$B$8/AVERAGEIFS(Results!$N$2:$N$241,Results!$A$2:$A$241,"aoe",Results!$B$2:$B$241,9,Results!$C$2:$C$241,20),"")</f>
        <v>38.253886432079</v>
      </c>
    </row>
    <row r="40" customFormat="false" ht="15" hidden="false" customHeight="true" outlineLevel="0" collapsed="false">
      <c r="A40" s="15" t="s">
        <v>125</v>
      </c>
      <c r="B40" s="13" t="n">
        <f aca="false">IFERROR(Parameters!$B$8/AVERAGEIFS(Results!$N$2:$N$241,Results!$A$2:$A$241,"single",Results!$B$2:$B$241,3,Results!$C$2:$C$241,20),"")</f>
        <v>31.1320129827118</v>
      </c>
      <c r="C40" s="13" t="n">
        <f aca="false">IFERROR(Parameters!$B$8/AVERAGEIFS(Results!$N$2:$N$241,Results!$A$2:$A$241,"single",Results!$B$2:$B$241,6,Results!$C$2:$C$241,20),"")</f>
        <v>35.9840751327072</v>
      </c>
      <c r="D40" s="13" t="n">
        <f aca="false">IFERROR(Parameters!$B$8/AVERAGEIFS(Results!$N$2:$N$241,Results!$A$2:$A$241,"single",Results!$B$2:$B$241,9,Results!$C$2:$C$241,20),"")</f>
        <v>34.1086396458507</v>
      </c>
    </row>
    <row r="41" customFormat="false" ht="15" hidden="false" customHeight="true" outlineLevel="0" collapsed="false">
      <c r="A41" s="15" t="s">
        <v>126</v>
      </c>
      <c r="B41" s="13" t="n">
        <f aca="false">IFERROR(Parameters!$B$8/AVERAGEIFS(Results!$N$2:$N$241,Results!$A$2:$A$241,"mixed",Results!$B$2:$B$241,3,Results!$C$2:$C$241,20),"")</f>
        <v>23.891724736831</v>
      </c>
      <c r="C41" s="13" t="n">
        <f aca="false">IFERROR(Parameters!$B$8/AVERAGEIFS(Results!$N$2:$N$241,Results!$A$2:$A$241,"mixed",Results!$B$2:$B$241,6,Results!$C$2:$C$241,20),"")</f>
        <v>29.8990113181541</v>
      </c>
      <c r="D41" s="13" t="n">
        <f aca="false">IFERROR(Parameters!$B$8/AVERAGEIFS(Results!$N$2:$N$241,Results!$A$2:$A$241,"mixed",Results!$B$2:$B$241,9,Results!$C$2:$C$241,20),"")</f>
        <v>30.9994008981032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9"/>
    <col collapsed="false" customWidth="true" hidden="false" outlineLevel="0" max="7" min="5" style="1" width="11"/>
    <col collapsed="false" customWidth="true" hidden="false" outlineLevel="0" max="9" min="8" style="1" width="12"/>
    <col collapsed="false" customWidth="true" hidden="false" outlineLevel="0" max="10" min="10" style="1" width="9"/>
    <col collapsed="false" customWidth="true" hidden="false" outlineLevel="0" max="11" min="11" style="1" width="15"/>
  </cols>
  <sheetData>
    <row r="1" customFormat="false" ht="17.25" hidden="false" customHeight="true" outlineLevel="0" collapsed="false">
      <c r="A1" s="9" t="s">
        <v>148</v>
      </c>
    </row>
    <row r="2" customFormat="false" ht="15" hidden="false" customHeight="true" outlineLevel="0" collapsed="false">
      <c r="A2" s="7" t="s">
        <v>149</v>
      </c>
    </row>
    <row r="3" customFormat="false" ht="15" hidden="false" customHeight="true" outlineLevel="0" collapsed="false">
      <c r="A3" s="7" t="s">
        <v>150</v>
      </c>
    </row>
    <row r="5" customFormat="false" ht="23.25" hidden="false" customHeight="true" outlineLevel="0" collapsed="false">
      <c r="A5" s="14" t="s">
        <v>151</v>
      </c>
      <c r="B5" s="14" t="s">
        <v>152</v>
      </c>
      <c r="C5" s="14" t="s">
        <v>153</v>
      </c>
      <c r="D5" s="14" t="s">
        <v>154</v>
      </c>
      <c r="E5" s="14" t="s">
        <v>155</v>
      </c>
      <c r="F5" s="14" t="s">
        <v>156</v>
      </c>
      <c r="G5" s="14" t="s">
        <v>157</v>
      </c>
      <c r="H5" s="14" t="s">
        <v>158</v>
      </c>
      <c r="I5" s="14" t="s">
        <v>159</v>
      </c>
      <c r="J5" s="14" t="s">
        <v>160</v>
      </c>
      <c r="K5" s="14" t="s">
        <v>161</v>
      </c>
    </row>
    <row r="6" customFormat="false" ht="15" hidden="false" customHeight="true" outlineLevel="0" collapsed="false">
      <c r="A6" s="13" t="s">
        <v>162</v>
      </c>
      <c r="B6" s="13" t="n">
        <v>3</v>
      </c>
      <c r="C6" s="13" t="n">
        <v>2</v>
      </c>
      <c r="D6" s="13" t="n">
        <v>26</v>
      </c>
      <c r="E6" s="13" t="n">
        <v>25.4</v>
      </c>
      <c r="F6" s="13" t="n">
        <v>1.89</v>
      </c>
      <c r="G6" s="13" t="n">
        <v>4</v>
      </c>
      <c r="H6" s="13" t="n">
        <v>0</v>
      </c>
      <c r="I6" s="13" t="n">
        <v>0</v>
      </c>
      <c r="J6" s="13" t="n">
        <v>0</v>
      </c>
      <c r="K6" s="27" t="n">
        <f aca="false">IF(E6=0,0,F6/E6)</f>
        <v>0.0744094488188976</v>
      </c>
    </row>
    <row r="7" customFormat="false" ht="15" hidden="false" customHeight="true" outlineLevel="0" collapsed="false">
      <c r="A7" s="13" t="s">
        <v>162</v>
      </c>
      <c r="B7" s="13" t="n">
        <v>3</v>
      </c>
      <c r="C7" s="13" t="n">
        <v>2</v>
      </c>
      <c r="D7" s="13" t="n">
        <v>40</v>
      </c>
      <c r="E7" s="13" t="n">
        <v>38.7</v>
      </c>
      <c r="F7" s="13" t="n">
        <v>2.9</v>
      </c>
      <c r="G7" s="13" t="n">
        <v>4</v>
      </c>
      <c r="H7" s="13" t="n">
        <v>0</v>
      </c>
      <c r="I7" s="13" t="n">
        <v>0</v>
      </c>
      <c r="J7" s="13" t="n">
        <v>0</v>
      </c>
      <c r="K7" s="27" t="n">
        <f aca="false">IF(E7=0,0,F7/E7)</f>
        <v>0.0749354005167959</v>
      </c>
    </row>
    <row r="8" customFormat="false" ht="15" hidden="false" customHeight="true" outlineLevel="0" collapsed="false">
      <c r="A8" s="13" t="s">
        <v>162</v>
      </c>
      <c r="B8" s="13" t="n">
        <v>3</v>
      </c>
      <c r="C8" s="13" t="n">
        <v>2</v>
      </c>
      <c r="D8" s="13" t="n">
        <v>60</v>
      </c>
      <c r="E8" s="13" t="n">
        <v>38.8</v>
      </c>
      <c r="F8" s="13" t="n">
        <v>3.11</v>
      </c>
      <c r="G8" s="13" t="n">
        <v>5</v>
      </c>
      <c r="H8" s="13" t="n">
        <v>0.1</v>
      </c>
      <c r="I8" s="13" t="n">
        <v>0</v>
      </c>
      <c r="J8" s="13" t="n">
        <v>0</v>
      </c>
      <c r="K8" s="27" t="n">
        <f aca="false">IF(E8=0,0,F8/E8)</f>
        <v>0.0801546391752577</v>
      </c>
    </row>
    <row r="9" customFormat="false" ht="15" hidden="false" customHeight="true" outlineLevel="0" collapsed="false">
      <c r="A9" s="13" t="s">
        <v>162</v>
      </c>
      <c r="B9" s="13" t="n">
        <v>3</v>
      </c>
      <c r="C9" s="13" t="n">
        <v>3</v>
      </c>
      <c r="D9" s="13" t="n">
        <v>26</v>
      </c>
      <c r="E9" s="13" t="n">
        <v>39</v>
      </c>
      <c r="F9" s="13" t="n">
        <v>2.39</v>
      </c>
      <c r="G9" s="13" t="n">
        <v>7</v>
      </c>
      <c r="H9" s="13" t="n">
        <v>2.72</v>
      </c>
      <c r="I9" s="13" t="n">
        <v>0</v>
      </c>
      <c r="J9" s="13" t="n">
        <v>6.4</v>
      </c>
      <c r="K9" s="27" t="n">
        <f aca="false">IF(E9=0,0,F9/E9)</f>
        <v>0.0612820512820513</v>
      </c>
    </row>
    <row r="10" customFormat="false" ht="15" hidden="false" customHeight="true" outlineLevel="0" collapsed="false">
      <c r="A10" s="13" t="s">
        <v>162</v>
      </c>
      <c r="B10" s="13" t="n">
        <v>3</v>
      </c>
      <c r="C10" s="13" t="n">
        <v>3</v>
      </c>
      <c r="D10" s="13" t="n">
        <v>40</v>
      </c>
      <c r="E10" s="13" t="n">
        <v>56.2</v>
      </c>
      <c r="F10" s="13" t="n">
        <v>3.45</v>
      </c>
      <c r="G10" s="13" t="n">
        <v>7</v>
      </c>
      <c r="H10" s="13" t="n">
        <v>3.8</v>
      </c>
      <c r="I10" s="13" t="n">
        <v>0</v>
      </c>
      <c r="J10" s="13" t="n">
        <v>6.4</v>
      </c>
      <c r="K10" s="27" t="n">
        <f aca="false">IF(E10=0,0,F10/E10)</f>
        <v>0.0613879003558719</v>
      </c>
    </row>
    <row r="11" customFormat="false" ht="15" hidden="false" customHeight="true" outlineLevel="0" collapsed="false">
      <c r="A11" s="13" t="s">
        <v>162</v>
      </c>
      <c r="B11" s="13" t="n">
        <v>3</v>
      </c>
      <c r="C11" s="13" t="n">
        <v>3</v>
      </c>
      <c r="D11" s="13" t="n">
        <v>60</v>
      </c>
      <c r="E11" s="13" t="n">
        <v>56.3</v>
      </c>
      <c r="F11" s="13" t="n">
        <v>4.31</v>
      </c>
      <c r="G11" s="13" t="n">
        <v>7</v>
      </c>
      <c r="H11" s="13" t="n">
        <v>5.72</v>
      </c>
      <c r="I11" s="13" t="n">
        <v>0</v>
      </c>
      <c r="J11" s="13" t="n">
        <v>0</v>
      </c>
      <c r="K11" s="27" t="n">
        <f aca="false">IF(E11=0,0,F11/E11)</f>
        <v>0.0765541740674956</v>
      </c>
    </row>
    <row r="12" customFormat="false" ht="15" hidden="false" customHeight="true" outlineLevel="0" collapsed="false">
      <c r="A12" s="13" t="s">
        <v>162</v>
      </c>
      <c r="B12" s="13" t="n">
        <v>3</v>
      </c>
      <c r="C12" s="13" t="n">
        <v>4</v>
      </c>
      <c r="D12" s="13" t="n">
        <v>26</v>
      </c>
      <c r="E12" s="13" t="n">
        <v>41.6</v>
      </c>
      <c r="F12" s="13" t="n">
        <v>2.55</v>
      </c>
      <c r="G12" s="13" t="n">
        <v>9</v>
      </c>
      <c r="H12" s="13" t="n">
        <v>2.59</v>
      </c>
      <c r="I12" s="13" t="n">
        <v>0.35</v>
      </c>
      <c r="J12" s="13" t="n">
        <v>8</v>
      </c>
      <c r="K12" s="27" t="n">
        <f aca="false">IF(E12=0,0,F12/E12)</f>
        <v>0.0612980769230769</v>
      </c>
    </row>
    <row r="13" customFormat="false" ht="15" hidden="false" customHeight="true" outlineLevel="0" collapsed="false">
      <c r="A13" s="13" t="s">
        <v>162</v>
      </c>
      <c r="B13" s="13" t="n">
        <v>3</v>
      </c>
      <c r="C13" s="13" t="n">
        <v>4</v>
      </c>
      <c r="D13" s="13" t="n">
        <v>40</v>
      </c>
      <c r="E13" s="13" t="n">
        <v>58.9</v>
      </c>
      <c r="F13" s="13" t="n">
        <v>3.62</v>
      </c>
      <c r="G13" s="13" t="n">
        <v>9</v>
      </c>
      <c r="H13" s="13" t="n">
        <v>3.68</v>
      </c>
      <c r="I13" s="13" t="n">
        <v>2.42</v>
      </c>
      <c r="J13" s="13" t="n">
        <v>8</v>
      </c>
      <c r="K13" s="27" t="n">
        <f aca="false">IF(E13=0,0,F13/E13)</f>
        <v>0.0614601018675722</v>
      </c>
    </row>
    <row r="14" customFormat="false" ht="15" hidden="false" customHeight="true" outlineLevel="0" collapsed="false">
      <c r="A14" s="13" t="s">
        <v>162</v>
      </c>
      <c r="B14" s="13" t="n">
        <v>3</v>
      </c>
      <c r="C14" s="13" t="n">
        <v>4</v>
      </c>
      <c r="D14" s="13" t="n">
        <v>60</v>
      </c>
      <c r="E14" s="13" t="n">
        <v>61.2</v>
      </c>
      <c r="F14" s="13" t="n">
        <v>4.6</v>
      </c>
      <c r="G14" s="13" t="n">
        <v>9</v>
      </c>
      <c r="H14" s="13" t="n">
        <v>5.77</v>
      </c>
      <c r="I14" s="13" t="n">
        <v>1.82</v>
      </c>
      <c r="J14" s="13" t="n">
        <v>0</v>
      </c>
      <c r="K14" s="27" t="n">
        <f aca="false">IF(E14=0,0,F14/E14)</f>
        <v>0.0751633986928105</v>
      </c>
    </row>
    <row r="15" customFormat="false" ht="15" hidden="false" customHeight="true" outlineLevel="0" collapsed="false">
      <c r="A15" s="13" t="s">
        <v>162</v>
      </c>
      <c r="B15" s="13" t="n">
        <v>4</v>
      </c>
      <c r="C15" s="13" t="n">
        <v>2</v>
      </c>
      <c r="D15" s="13" t="n">
        <v>26</v>
      </c>
      <c r="E15" s="13" t="n">
        <v>76.6</v>
      </c>
      <c r="F15" s="13" t="n">
        <v>2.72</v>
      </c>
      <c r="G15" s="13" t="n">
        <v>6</v>
      </c>
      <c r="H15" s="13" t="n">
        <v>5.56</v>
      </c>
      <c r="I15" s="13" t="n">
        <v>0</v>
      </c>
      <c r="J15" s="13" t="n">
        <v>100</v>
      </c>
      <c r="K15" s="27" t="n">
        <f aca="false">IF(E15=0,0,F15/E15)</f>
        <v>0.0355091383812011</v>
      </c>
    </row>
    <row r="16" customFormat="false" ht="15" hidden="false" customHeight="true" outlineLevel="0" collapsed="false">
      <c r="A16" s="13" t="s">
        <v>162</v>
      </c>
      <c r="B16" s="13" t="n">
        <v>4</v>
      </c>
      <c r="C16" s="13" t="n">
        <v>2</v>
      </c>
      <c r="D16" s="13" t="n">
        <v>40</v>
      </c>
      <c r="E16" s="13" t="n">
        <v>93.6</v>
      </c>
      <c r="F16" s="13" t="n">
        <v>3.21</v>
      </c>
      <c r="G16" s="13" t="n">
        <v>6</v>
      </c>
      <c r="H16" s="13" t="n">
        <v>5.76</v>
      </c>
      <c r="I16" s="13" t="n">
        <v>0</v>
      </c>
      <c r="J16" s="13" t="n">
        <v>100</v>
      </c>
      <c r="K16" s="27" t="n">
        <f aca="false">IF(E16=0,0,F16/E16)</f>
        <v>0.0342948717948718</v>
      </c>
    </row>
    <row r="17" customFormat="false" ht="15" hidden="false" customHeight="true" outlineLevel="0" collapsed="false">
      <c r="A17" s="13" t="s">
        <v>162</v>
      </c>
      <c r="B17" s="13" t="n">
        <v>4</v>
      </c>
      <c r="C17" s="13" t="n">
        <v>2</v>
      </c>
      <c r="D17" s="13" t="n">
        <v>60</v>
      </c>
      <c r="E17" s="13" t="n">
        <v>120.2</v>
      </c>
      <c r="F17" s="13" t="n">
        <v>4.01</v>
      </c>
      <c r="G17" s="13" t="n">
        <v>6</v>
      </c>
      <c r="H17" s="13" t="n">
        <v>10.52</v>
      </c>
      <c r="I17" s="13" t="n">
        <v>0</v>
      </c>
      <c r="J17" s="13" t="n">
        <v>100</v>
      </c>
      <c r="K17" s="27" t="n">
        <f aca="false">IF(E17=0,0,F17/E17)</f>
        <v>0.0333610648918469</v>
      </c>
    </row>
    <row r="18" customFormat="false" ht="15" hidden="false" customHeight="true" outlineLevel="0" collapsed="false">
      <c r="A18" s="13" t="s">
        <v>162</v>
      </c>
      <c r="B18" s="13" t="n">
        <v>4</v>
      </c>
      <c r="C18" s="13" t="n">
        <v>3</v>
      </c>
      <c r="D18" s="13" t="n">
        <v>26</v>
      </c>
      <c r="E18" s="13" t="n">
        <v>80.3</v>
      </c>
      <c r="F18" s="13" t="n">
        <v>3.11</v>
      </c>
      <c r="G18" s="13" t="n">
        <v>8</v>
      </c>
      <c r="H18" s="13" t="n">
        <v>6.42</v>
      </c>
      <c r="I18" s="13" t="n">
        <v>2.94</v>
      </c>
      <c r="J18" s="13" t="n">
        <v>100</v>
      </c>
      <c r="K18" s="27" t="n">
        <f aca="false">IF(E18=0,0,F18/E18)</f>
        <v>0.0387297633872976</v>
      </c>
    </row>
    <row r="19" customFormat="false" ht="15" hidden="false" customHeight="true" outlineLevel="0" collapsed="false">
      <c r="A19" s="13" t="s">
        <v>162</v>
      </c>
      <c r="B19" s="13" t="n">
        <v>4</v>
      </c>
      <c r="C19" s="13" t="n">
        <v>3</v>
      </c>
      <c r="D19" s="13" t="n">
        <v>40</v>
      </c>
      <c r="E19" s="13" t="n">
        <v>98.7</v>
      </c>
      <c r="F19" s="13" t="n">
        <v>3.61</v>
      </c>
      <c r="G19" s="13" t="n">
        <v>8</v>
      </c>
      <c r="H19" s="13" t="n">
        <v>7.07</v>
      </c>
      <c r="I19" s="13" t="n">
        <v>2.94</v>
      </c>
      <c r="J19" s="13" t="n">
        <v>100</v>
      </c>
      <c r="K19" s="27" t="n">
        <f aca="false">IF(E19=0,0,F19/E19)</f>
        <v>0.0365754812563323</v>
      </c>
    </row>
    <row r="20" customFormat="false" ht="15" hidden="false" customHeight="true" outlineLevel="0" collapsed="false">
      <c r="A20" s="13" t="s">
        <v>162</v>
      </c>
      <c r="B20" s="13" t="n">
        <v>4</v>
      </c>
      <c r="C20" s="13" t="n">
        <v>3</v>
      </c>
      <c r="D20" s="13" t="n">
        <v>60</v>
      </c>
      <c r="E20" s="13" t="n">
        <v>124</v>
      </c>
      <c r="F20" s="13" t="n">
        <v>4.4</v>
      </c>
      <c r="G20" s="13" t="n">
        <v>8</v>
      </c>
      <c r="H20" s="13" t="n">
        <v>11.36</v>
      </c>
      <c r="I20" s="13" t="n">
        <v>3</v>
      </c>
      <c r="J20" s="13" t="n">
        <v>100</v>
      </c>
      <c r="K20" s="27" t="n">
        <f aca="false">IF(E20=0,0,F20/E20)</f>
        <v>0.0354838709677419</v>
      </c>
    </row>
    <row r="21" customFormat="false" ht="15" hidden="false" customHeight="true" outlineLevel="0" collapsed="false">
      <c r="A21" s="13" t="s">
        <v>162</v>
      </c>
      <c r="B21" s="13" t="n">
        <v>4</v>
      </c>
      <c r="C21" s="13" t="n">
        <v>4</v>
      </c>
      <c r="D21" s="13" t="n">
        <v>26</v>
      </c>
      <c r="E21" s="13" t="n">
        <v>78.5</v>
      </c>
      <c r="F21" s="13" t="n">
        <v>3.11</v>
      </c>
      <c r="G21" s="13" t="n">
        <v>10</v>
      </c>
      <c r="H21" s="13" t="n">
        <v>4.73</v>
      </c>
      <c r="I21" s="13" t="n">
        <v>3</v>
      </c>
      <c r="J21" s="13" t="n">
        <v>100</v>
      </c>
      <c r="K21" s="27" t="n">
        <f aca="false">IF(E21=0,0,F21/E21)</f>
        <v>0.0396178343949045</v>
      </c>
    </row>
    <row r="22" customFormat="false" ht="15" hidden="false" customHeight="true" outlineLevel="0" collapsed="false">
      <c r="A22" s="13" t="s">
        <v>162</v>
      </c>
      <c r="B22" s="13" t="n">
        <v>4</v>
      </c>
      <c r="C22" s="13" t="n">
        <v>4</v>
      </c>
      <c r="D22" s="13" t="n">
        <v>40</v>
      </c>
      <c r="E22" s="13" t="n">
        <v>96.8</v>
      </c>
      <c r="F22" s="13" t="n">
        <v>3.62</v>
      </c>
      <c r="G22" s="13" t="n">
        <v>10</v>
      </c>
      <c r="H22" s="13" t="n">
        <v>5.39</v>
      </c>
      <c r="I22" s="13" t="n">
        <v>3.12</v>
      </c>
      <c r="J22" s="13" t="n">
        <v>100</v>
      </c>
      <c r="K22" s="27" t="n">
        <f aca="false">IF(E22=0,0,F22/E22)</f>
        <v>0.037396694214876</v>
      </c>
    </row>
    <row r="23" customFormat="false" ht="15" hidden="false" customHeight="true" outlineLevel="0" collapsed="false">
      <c r="A23" s="13" t="s">
        <v>162</v>
      </c>
      <c r="B23" s="13" t="n">
        <v>4</v>
      </c>
      <c r="C23" s="13" t="n">
        <v>4</v>
      </c>
      <c r="D23" s="13" t="n">
        <v>60</v>
      </c>
      <c r="E23" s="13" t="n">
        <v>123.8</v>
      </c>
      <c r="F23" s="13" t="n">
        <v>4.49</v>
      </c>
      <c r="G23" s="13" t="n">
        <v>10</v>
      </c>
      <c r="H23" s="13" t="n">
        <v>9.85</v>
      </c>
      <c r="I23" s="13" t="n">
        <v>3.85</v>
      </c>
      <c r="J23" s="13" t="n">
        <v>100</v>
      </c>
      <c r="K23" s="27" t="n">
        <f aca="false">IF(E23=0,0,F23/E23)</f>
        <v>0.0362681744749596</v>
      </c>
    </row>
    <row r="24" customFormat="false" ht="15" hidden="false" customHeight="true" outlineLevel="0" collapsed="false">
      <c r="A24" s="13" t="s">
        <v>162</v>
      </c>
      <c r="B24" s="13" t="n">
        <v>5</v>
      </c>
      <c r="C24" s="13" t="n">
        <v>2</v>
      </c>
      <c r="D24" s="13" t="n">
        <v>26</v>
      </c>
      <c r="E24" s="13" t="n">
        <v>102.5</v>
      </c>
      <c r="F24" s="13" t="n">
        <v>3.61</v>
      </c>
      <c r="G24" s="13" t="n">
        <v>8</v>
      </c>
      <c r="H24" s="13" t="n">
        <v>7.13</v>
      </c>
      <c r="I24" s="13" t="n">
        <v>2.24</v>
      </c>
      <c r="J24" s="13" t="n">
        <v>100</v>
      </c>
      <c r="K24" s="27" t="n">
        <f aca="false">IF(E24=0,0,F24/E24)</f>
        <v>0.035219512195122</v>
      </c>
    </row>
    <row r="25" customFormat="false" ht="15" hidden="false" customHeight="true" outlineLevel="0" collapsed="false">
      <c r="A25" s="13" t="s">
        <v>162</v>
      </c>
      <c r="B25" s="13" t="n">
        <v>5</v>
      </c>
      <c r="C25" s="13" t="n">
        <v>2</v>
      </c>
      <c r="D25" s="13" t="n">
        <v>40</v>
      </c>
      <c r="E25" s="13" t="n">
        <v>127.9</v>
      </c>
      <c r="F25" s="13" t="n">
        <v>4.22</v>
      </c>
      <c r="G25" s="13" t="n">
        <v>8</v>
      </c>
      <c r="H25" s="13" t="n">
        <v>11.59</v>
      </c>
      <c r="I25" s="13" t="n">
        <v>2.67</v>
      </c>
      <c r="J25" s="13" t="n">
        <v>100</v>
      </c>
      <c r="K25" s="27" t="n">
        <f aca="false">IF(E25=0,0,F25/E25)</f>
        <v>0.0329945269741986</v>
      </c>
    </row>
    <row r="26" customFormat="false" ht="15" hidden="false" customHeight="true" outlineLevel="0" collapsed="false">
      <c r="A26" s="13" t="s">
        <v>162</v>
      </c>
      <c r="B26" s="13" t="n">
        <v>5</v>
      </c>
      <c r="C26" s="13" t="n">
        <v>2</v>
      </c>
      <c r="D26" s="13" t="n">
        <v>60</v>
      </c>
      <c r="E26" s="13" t="n">
        <v>149.8</v>
      </c>
      <c r="F26" s="13" t="n">
        <v>4.02</v>
      </c>
      <c r="G26" s="13" t="n">
        <v>8</v>
      </c>
      <c r="H26" s="13" t="n">
        <v>15.32</v>
      </c>
      <c r="I26" s="13" t="n">
        <v>3.33</v>
      </c>
      <c r="J26" s="13" t="n">
        <v>100</v>
      </c>
      <c r="K26" s="27" t="n">
        <f aca="false">IF(E26=0,0,F26/E26)</f>
        <v>0.0268357810413885</v>
      </c>
    </row>
    <row r="27" customFormat="false" ht="15" hidden="false" customHeight="true" outlineLevel="0" collapsed="false">
      <c r="A27" s="13" t="s">
        <v>162</v>
      </c>
      <c r="B27" s="13" t="n">
        <v>5</v>
      </c>
      <c r="C27" s="13" t="n">
        <v>3</v>
      </c>
      <c r="D27" s="13" t="n">
        <v>26</v>
      </c>
      <c r="E27" s="13" t="n">
        <v>107.4</v>
      </c>
      <c r="F27" s="13" t="n">
        <v>4.03</v>
      </c>
      <c r="G27" s="13" t="n">
        <v>11</v>
      </c>
      <c r="H27" s="13" t="n">
        <v>5.83</v>
      </c>
      <c r="I27" s="13" t="n">
        <v>3.56</v>
      </c>
      <c r="J27" s="13" t="n">
        <v>100</v>
      </c>
      <c r="K27" s="27" t="n">
        <f aca="false">IF(E27=0,0,F27/E27)</f>
        <v>0.0375232774674116</v>
      </c>
    </row>
    <row r="28" customFormat="false" ht="15" hidden="false" customHeight="true" outlineLevel="0" collapsed="false">
      <c r="A28" s="13" t="s">
        <v>162</v>
      </c>
      <c r="B28" s="13" t="n">
        <v>5</v>
      </c>
      <c r="C28" s="13" t="n">
        <v>3</v>
      </c>
      <c r="D28" s="13" t="n">
        <v>40</v>
      </c>
      <c r="E28" s="13" t="n">
        <v>131.4</v>
      </c>
      <c r="F28" s="13" t="n">
        <v>4.61</v>
      </c>
      <c r="G28" s="13" t="n">
        <v>11</v>
      </c>
      <c r="H28" s="13" t="n">
        <v>10.23</v>
      </c>
      <c r="I28" s="13" t="n">
        <v>3.57</v>
      </c>
      <c r="J28" s="13" t="n">
        <v>100</v>
      </c>
      <c r="K28" s="27" t="n">
        <f aca="false">IF(E28=0,0,F28/E28)</f>
        <v>0.0350837138508371</v>
      </c>
    </row>
    <row r="29" customFormat="false" ht="15" hidden="false" customHeight="true" outlineLevel="0" collapsed="false">
      <c r="A29" s="13" t="s">
        <v>162</v>
      </c>
      <c r="B29" s="13" t="n">
        <v>5</v>
      </c>
      <c r="C29" s="13" t="n">
        <v>3</v>
      </c>
      <c r="D29" s="13" t="n">
        <v>60</v>
      </c>
      <c r="E29" s="13" t="n">
        <v>158</v>
      </c>
      <c r="F29" s="13" t="n">
        <v>4.45</v>
      </c>
      <c r="G29" s="13" t="n">
        <v>11</v>
      </c>
      <c r="H29" s="13" t="n">
        <v>13.73</v>
      </c>
      <c r="I29" s="13" t="n">
        <v>4.67</v>
      </c>
      <c r="J29" s="13" t="n">
        <v>100</v>
      </c>
      <c r="K29" s="27" t="n">
        <f aca="false">IF(E29=0,0,F29/E29)</f>
        <v>0.0281645569620253</v>
      </c>
    </row>
    <row r="30" customFormat="false" ht="15" hidden="false" customHeight="true" outlineLevel="0" collapsed="false">
      <c r="A30" s="13" t="s">
        <v>162</v>
      </c>
      <c r="B30" s="13" t="n">
        <v>5</v>
      </c>
      <c r="C30" s="13" t="n">
        <v>4</v>
      </c>
      <c r="D30" s="13" t="n">
        <v>26</v>
      </c>
      <c r="E30" s="13" t="n">
        <v>104.7</v>
      </c>
      <c r="F30" s="13" t="n">
        <v>3.91</v>
      </c>
      <c r="G30" s="13" t="n">
        <v>12</v>
      </c>
      <c r="H30" s="13" t="n">
        <v>4.46</v>
      </c>
      <c r="I30" s="13" t="n">
        <v>3.48</v>
      </c>
      <c r="J30" s="13" t="n">
        <v>100</v>
      </c>
      <c r="K30" s="27" t="n">
        <f aca="false">IF(E30=0,0,F30/E30)</f>
        <v>0.0373447946513849</v>
      </c>
    </row>
    <row r="31" customFormat="false" ht="15" hidden="false" customHeight="true" outlineLevel="0" collapsed="false">
      <c r="A31" s="13" t="s">
        <v>162</v>
      </c>
      <c r="B31" s="13" t="n">
        <v>5</v>
      </c>
      <c r="C31" s="13" t="n">
        <v>4</v>
      </c>
      <c r="D31" s="13" t="n">
        <v>40</v>
      </c>
      <c r="E31" s="13" t="n">
        <v>128.6</v>
      </c>
      <c r="F31" s="13" t="n">
        <v>4.52</v>
      </c>
      <c r="G31" s="13" t="n">
        <v>12</v>
      </c>
      <c r="H31" s="13" t="n">
        <v>9.07</v>
      </c>
      <c r="I31" s="13" t="n">
        <v>3.57</v>
      </c>
      <c r="J31" s="13" t="n">
        <v>100</v>
      </c>
      <c r="K31" s="27" t="n">
        <f aca="false">IF(E31=0,0,F31/E31)</f>
        <v>0.0351477449455677</v>
      </c>
    </row>
    <row r="32" customFormat="false" ht="15" hidden="false" customHeight="true" outlineLevel="0" collapsed="false">
      <c r="A32" s="13" t="s">
        <v>162</v>
      </c>
      <c r="B32" s="13" t="n">
        <v>5</v>
      </c>
      <c r="C32" s="13" t="n">
        <v>4</v>
      </c>
      <c r="D32" s="13" t="n">
        <v>60</v>
      </c>
      <c r="E32" s="13" t="n">
        <v>155.1</v>
      </c>
      <c r="F32" s="13" t="n">
        <v>4.39</v>
      </c>
      <c r="G32" s="13" t="n">
        <v>12</v>
      </c>
      <c r="H32" s="13" t="n">
        <v>12.46</v>
      </c>
      <c r="I32" s="13" t="n">
        <v>4.75</v>
      </c>
      <c r="J32" s="13" t="n">
        <v>100</v>
      </c>
      <c r="K32" s="27" t="n">
        <f aca="false">IF(E32=0,0,F32/E32)</f>
        <v>0.0283043197936815</v>
      </c>
    </row>
    <row r="33" customFormat="false" ht="15" hidden="false" customHeight="true" outlineLevel="0" collapsed="false">
      <c r="A33" s="13" t="s">
        <v>163</v>
      </c>
      <c r="B33" s="13" t="n">
        <v>3</v>
      </c>
      <c r="C33" s="13" t="n">
        <v>2</v>
      </c>
      <c r="D33" s="13" t="n">
        <v>26</v>
      </c>
      <c r="E33" s="13" t="n">
        <v>49.7</v>
      </c>
      <c r="F33" s="13" t="n">
        <v>3.09</v>
      </c>
      <c r="G33" s="13" t="n">
        <v>5</v>
      </c>
      <c r="H33" s="13" t="n">
        <v>1.92</v>
      </c>
      <c r="I33" s="13" t="n">
        <v>0</v>
      </c>
      <c r="J33" s="13" t="n">
        <v>100</v>
      </c>
      <c r="K33" s="27" t="n">
        <f aca="false">IF(E33=0,0,F33/E33)</f>
        <v>0.0621730382293763</v>
      </c>
    </row>
    <row r="34" customFormat="false" ht="15" hidden="false" customHeight="true" outlineLevel="0" collapsed="false">
      <c r="A34" s="13" t="s">
        <v>163</v>
      </c>
      <c r="B34" s="13" t="n">
        <v>3</v>
      </c>
      <c r="C34" s="13" t="n">
        <v>2</v>
      </c>
      <c r="D34" s="13" t="n">
        <v>40</v>
      </c>
      <c r="E34" s="13" t="n">
        <v>56.7</v>
      </c>
      <c r="F34" s="13" t="n">
        <v>3.52</v>
      </c>
      <c r="G34" s="13" t="n">
        <v>5</v>
      </c>
      <c r="H34" s="13" t="n">
        <v>1.92</v>
      </c>
      <c r="I34" s="13" t="n">
        <v>0</v>
      </c>
      <c r="J34" s="13" t="n">
        <v>100</v>
      </c>
      <c r="K34" s="27" t="n">
        <f aca="false">IF(E34=0,0,F34/E34)</f>
        <v>0.0620811287477954</v>
      </c>
    </row>
    <row r="35" customFormat="false" ht="15" hidden="false" customHeight="true" outlineLevel="0" collapsed="false">
      <c r="A35" s="13" t="s">
        <v>163</v>
      </c>
      <c r="B35" s="13" t="n">
        <v>3</v>
      </c>
      <c r="C35" s="13" t="n">
        <v>2</v>
      </c>
      <c r="D35" s="13" t="n">
        <v>60</v>
      </c>
      <c r="E35" s="13" t="n">
        <v>64.6</v>
      </c>
      <c r="F35" s="13" t="n">
        <v>3.29</v>
      </c>
      <c r="G35" s="13" t="n">
        <v>5</v>
      </c>
      <c r="H35" s="13" t="n">
        <v>2.56</v>
      </c>
      <c r="I35" s="13" t="n">
        <v>0</v>
      </c>
      <c r="J35" s="13" t="n">
        <v>95.6</v>
      </c>
      <c r="K35" s="27" t="n">
        <f aca="false">IF(E35=0,0,F35/E35)</f>
        <v>0.0509287925696594</v>
      </c>
    </row>
    <row r="36" customFormat="false" ht="15" hidden="false" customHeight="true" outlineLevel="0" collapsed="false">
      <c r="A36" s="13" t="s">
        <v>163</v>
      </c>
      <c r="B36" s="13" t="n">
        <v>3</v>
      </c>
      <c r="C36" s="13" t="n">
        <v>3</v>
      </c>
      <c r="D36" s="13" t="n">
        <v>26</v>
      </c>
      <c r="E36" s="13" t="n">
        <v>52.9</v>
      </c>
      <c r="F36" s="13" t="n">
        <v>3.76</v>
      </c>
      <c r="G36" s="13" t="n">
        <v>7</v>
      </c>
      <c r="H36" s="13" t="n">
        <v>5.97</v>
      </c>
      <c r="I36" s="13" t="n">
        <v>0</v>
      </c>
      <c r="J36" s="13" t="n">
        <v>100</v>
      </c>
      <c r="K36" s="27" t="n">
        <f aca="false">IF(E36=0,0,F36/E36)</f>
        <v>0.0710775047258979</v>
      </c>
    </row>
    <row r="37" customFormat="false" ht="15" hidden="false" customHeight="true" outlineLevel="0" collapsed="false">
      <c r="A37" s="13" t="s">
        <v>163</v>
      </c>
      <c r="B37" s="13" t="n">
        <v>3</v>
      </c>
      <c r="C37" s="13" t="n">
        <v>3</v>
      </c>
      <c r="D37" s="13" t="n">
        <v>40</v>
      </c>
      <c r="E37" s="13" t="n">
        <v>64.9</v>
      </c>
      <c r="F37" s="13" t="n">
        <v>4.62</v>
      </c>
      <c r="G37" s="13" t="n">
        <v>7</v>
      </c>
      <c r="H37" s="13" t="n">
        <v>6.97</v>
      </c>
      <c r="I37" s="13" t="n">
        <v>0</v>
      </c>
      <c r="J37" s="13" t="n">
        <v>100</v>
      </c>
      <c r="K37" s="27" t="n">
        <f aca="false">IF(E37=0,0,F37/E37)</f>
        <v>0.0711864406779661</v>
      </c>
    </row>
    <row r="38" customFormat="false" ht="15" hidden="false" customHeight="true" outlineLevel="0" collapsed="false">
      <c r="A38" s="13" t="s">
        <v>163</v>
      </c>
      <c r="B38" s="13" t="n">
        <v>3</v>
      </c>
      <c r="C38" s="13" t="n">
        <v>3</v>
      </c>
      <c r="D38" s="13" t="n">
        <v>60</v>
      </c>
      <c r="E38" s="13" t="n">
        <v>72.6</v>
      </c>
      <c r="F38" s="13" t="n">
        <v>4.71</v>
      </c>
      <c r="G38" s="13" t="n">
        <v>7</v>
      </c>
      <c r="H38" s="13" t="n">
        <v>9.74</v>
      </c>
      <c r="I38" s="13" t="n">
        <v>0</v>
      </c>
      <c r="J38" s="13" t="n">
        <v>97.6</v>
      </c>
      <c r="K38" s="27" t="n">
        <f aca="false">IF(E38=0,0,F38/E38)</f>
        <v>0.0648760330578513</v>
      </c>
    </row>
    <row r="39" customFormat="false" ht="15" hidden="false" customHeight="true" outlineLevel="0" collapsed="false">
      <c r="A39" s="13" t="s">
        <v>163</v>
      </c>
      <c r="B39" s="13" t="n">
        <v>3</v>
      </c>
      <c r="C39" s="13" t="n">
        <v>4</v>
      </c>
      <c r="D39" s="13" t="n">
        <v>26</v>
      </c>
      <c r="E39" s="13" t="n">
        <v>55.9</v>
      </c>
      <c r="F39" s="13" t="n">
        <v>3.98</v>
      </c>
      <c r="G39" s="13" t="n">
        <v>9</v>
      </c>
      <c r="H39" s="13" t="n">
        <v>4.97</v>
      </c>
      <c r="I39" s="13" t="n">
        <v>1.98</v>
      </c>
      <c r="J39" s="13" t="n">
        <v>100</v>
      </c>
      <c r="K39" s="27" t="n">
        <f aca="false">IF(E39=0,0,F39/E39)</f>
        <v>0.0711985688729875</v>
      </c>
    </row>
    <row r="40" customFormat="false" ht="15" hidden="false" customHeight="true" outlineLevel="0" collapsed="false">
      <c r="A40" s="13" t="s">
        <v>163</v>
      </c>
      <c r="B40" s="13" t="n">
        <v>3</v>
      </c>
      <c r="C40" s="13" t="n">
        <v>4</v>
      </c>
      <c r="D40" s="13" t="n">
        <v>40</v>
      </c>
      <c r="E40" s="13" t="n">
        <v>67.9</v>
      </c>
      <c r="F40" s="13" t="n">
        <v>4.83</v>
      </c>
      <c r="G40" s="13" t="n">
        <v>9</v>
      </c>
      <c r="H40" s="13" t="n">
        <v>5.97</v>
      </c>
      <c r="I40" s="13" t="n">
        <v>3.98</v>
      </c>
      <c r="J40" s="13" t="n">
        <v>100</v>
      </c>
      <c r="K40" s="27" t="n">
        <f aca="false">IF(E40=0,0,F40/E40)</f>
        <v>0.0711340206185567</v>
      </c>
    </row>
    <row r="41" customFormat="false" ht="15" hidden="false" customHeight="true" outlineLevel="0" collapsed="false">
      <c r="A41" s="13" t="s">
        <v>163</v>
      </c>
      <c r="B41" s="13" t="n">
        <v>3</v>
      </c>
      <c r="C41" s="13" t="n">
        <v>4</v>
      </c>
      <c r="D41" s="13" t="n">
        <v>60</v>
      </c>
      <c r="E41" s="13" t="n">
        <v>78.5</v>
      </c>
      <c r="F41" s="13" t="n">
        <v>5.11</v>
      </c>
      <c r="G41" s="13" t="n">
        <v>9</v>
      </c>
      <c r="H41" s="13" t="n">
        <v>8.8</v>
      </c>
      <c r="I41" s="13" t="n">
        <v>3.88</v>
      </c>
      <c r="J41" s="13" t="n">
        <v>97.6</v>
      </c>
      <c r="K41" s="27" t="n">
        <f aca="false">IF(E41=0,0,F41/E41)</f>
        <v>0.0650955414012739</v>
      </c>
    </row>
    <row r="42" customFormat="false" ht="15" hidden="false" customHeight="true" outlineLevel="0" collapsed="false">
      <c r="A42" s="13" t="s">
        <v>163</v>
      </c>
      <c r="B42" s="13" t="n">
        <v>4</v>
      </c>
      <c r="C42" s="13" t="n">
        <v>2</v>
      </c>
      <c r="D42" s="13" t="n">
        <v>26</v>
      </c>
      <c r="E42" s="13" t="n">
        <v>46.7</v>
      </c>
      <c r="F42" s="13" t="n">
        <v>2.65</v>
      </c>
      <c r="G42" s="13" t="n">
        <v>6</v>
      </c>
      <c r="H42" s="13" t="n">
        <v>3.36</v>
      </c>
      <c r="I42" s="13" t="n">
        <v>0</v>
      </c>
      <c r="J42" s="13" t="n">
        <v>100</v>
      </c>
      <c r="K42" s="27" t="n">
        <f aca="false">IF(E42=0,0,F42/E42)</f>
        <v>0.056745182012848</v>
      </c>
    </row>
    <row r="43" customFormat="false" ht="15" hidden="false" customHeight="true" outlineLevel="0" collapsed="false">
      <c r="A43" s="13" t="s">
        <v>163</v>
      </c>
      <c r="B43" s="13" t="n">
        <v>4</v>
      </c>
      <c r="C43" s="13" t="n">
        <v>2</v>
      </c>
      <c r="D43" s="13" t="n">
        <v>40</v>
      </c>
      <c r="E43" s="13" t="n">
        <v>57.8</v>
      </c>
      <c r="F43" s="13" t="n">
        <v>3.27</v>
      </c>
      <c r="G43" s="13" t="n">
        <v>6</v>
      </c>
      <c r="H43" s="13" t="n">
        <v>4.12</v>
      </c>
      <c r="I43" s="13" t="n">
        <v>0</v>
      </c>
      <c r="J43" s="13" t="n">
        <v>100</v>
      </c>
      <c r="K43" s="27" t="n">
        <f aca="false">IF(E43=0,0,F43/E43)</f>
        <v>0.0565743944636678</v>
      </c>
    </row>
    <row r="44" customFormat="false" ht="15" hidden="false" customHeight="true" outlineLevel="0" collapsed="false">
      <c r="A44" s="13" t="s">
        <v>163</v>
      </c>
      <c r="B44" s="13" t="n">
        <v>4</v>
      </c>
      <c r="C44" s="13" t="n">
        <v>2</v>
      </c>
      <c r="D44" s="13" t="n">
        <v>60</v>
      </c>
      <c r="E44" s="13" t="n">
        <v>72.5</v>
      </c>
      <c r="F44" s="13" t="n">
        <v>3.86</v>
      </c>
      <c r="G44" s="13" t="n">
        <v>6</v>
      </c>
      <c r="H44" s="13" t="n">
        <v>6.16</v>
      </c>
      <c r="I44" s="13" t="n">
        <v>0</v>
      </c>
      <c r="J44" s="13" t="n">
        <v>100</v>
      </c>
      <c r="K44" s="27" t="n">
        <f aca="false">IF(E44=0,0,F44/E44)</f>
        <v>0.0532413793103448</v>
      </c>
    </row>
    <row r="45" customFormat="false" ht="15" hidden="false" customHeight="true" outlineLevel="0" collapsed="false">
      <c r="A45" s="13" t="s">
        <v>163</v>
      </c>
      <c r="B45" s="13" t="n">
        <v>4</v>
      </c>
      <c r="C45" s="13" t="n">
        <v>3</v>
      </c>
      <c r="D45" s="13" t="n">
        <v>26</v>
      </c>
      <c r="E45" s="13" t="n">
        <v>48.1</v>
      </c>
      <c r="F45" s="13" t="n">
        <v>3</v>
      </c>
      <c r="G45" s="13" t="n">
        <v>8</v>
      </c>
      <c r="H45" s="13" t="n">
        <v>3.58</v>
      </c>
      <c r="I45" s="13" t="n">
        <v>1.18</v>
      </c>
      <c r="J45" s="13" t="n">
        <v>100</v>
      </c>
      <c r="K45" s="27" t="n">
        <f aca="false">IF(E45=0,0,F45/E45)</f>
        <v>0.0623700623700624</v>
      </c>
    </row>
    <row r="46" customFormat="false" ht="15" hidden="false" customHeight="true" outlineLevel="0" collapsed="false">
      <c r="A46" s="13" t="s">
        <v>163</v>
      </c>
      <c r="B46" s="13" t="n">
        <v>4</v>
      </c>
      <c r="C46" s="13" t="n">
        <v>3</v>
      </c>
      <c r="D46" s="13" t="n">
        <v>40</v>
      </c>
      <c r="E46" s="13" t="n">
        <v>59.3</v>
      </c>
      <c r="F46" s="13" t="n">
        <v>3.69</v>
      </c>
      <c r="G46" s="13" t="n">
        <v>8</v>
      </c>
      <c r="H46" s="13" t="n">
        <v>4.43</v>
      </c>
      <c r="I46" s="13" t="n">
        <v>1.2</v>
      </c>
      <c r="J46" s="13" t="n">
        <v>100</v>
      </c>
      <c r="K46" s="27" t="n">
        <f aca="false">IF(E46=0,0,F46/E46)</f>
        <v>0.0622259696458685</v>
      </c>
    </row>
    <row r="47" customFormat="false" ht="15" hidden="false" customHeight="true" outlineLevel="0" collapsed="false">
      <c r="A47" s="13" t="s">
        <v>163</v>
      </c>
      <c r="B47" s="13" t="n">
        <v>4</v>
      </c>
      <c r="C47" s="13" t="n">
        <v>3</v>
      </c>
      <c r="D47" s="13" t="n">
        <v>60</v>
      </c>
      <c r="E47" s="13" t="n">
        <v>74.9</v>
      </c>
      <c r="F47" s="13" t="n">
        <v>4.43</v>
      </c>
      <c r="G47" s="13" t="n">
        <v>8</v>
      </c>
      <c r="H47" s="13" t="n">
        <v>6.98</v>
      </c>
      <c r="I47" s="13" t="n">
        <v>1.91</v>
      </c>
      <c r="J47" s="13" t="n">
        <v>100</v>
      </c>
      <c r="K47" s="27" t="n">
        <f aca="false">IF(E47=0,0,F47/E47)</f>
        <v>0.0591455273698264</v>
      </c>
    </row>
    <row r="48" customFormat="false" ht="15" hidden="false" customHeight="true" outlineLevel="0" collapsed="false">
      <c r="A48" s="13" t="s">
        <v>163</v>
      </c>
      <c r="B48" s="13" t="n">
        <v>4</v>
      </c>
      <c r="C48" s="13" t="n">
        <v>4</v>
      </c>
      <c r="D48" s="13" t="n">
        <v>26</v>
      </c>
      <c r="E48" s="13" t="n">
        <v>47.8</v>
      </c>
      <c r="F48" s="13" t="n">
        <v>3.07</v>
      </c>
      <c r="G48" s="13" t="n">
        <v>10</v>
      </c>
      <c r="H48" s="13" t="n">
        <v>2.69</v>
      </c>
      <c r="I48" s="13" t="n">
        <v>2</v>
      </c>
      <c r="J48" s="13" t="n">
        <v>100</v>
      </c>
      <c r="K48" s="27" t="n">
        <f aca="false">IF(E48=0,0,F48/E48)</f>
        <v>0.0642259414225942</v>
      </c>
    </row>
    <row r="49" customFormat="false" ht="15" hidden="false" customHeight="true" outlineLevel="0" collapsed="false">
      <c r="A49" s="13" t="s">
        <v>163</v>
      </c>
      <c r="B49" s="13" t="n">
        <v>4</v>
      </c>
      <c r="C49" s="13" t="n">
        <v>4</v>
      </c>
      <c r="D49" s="13" t="n">
        <v>40</v>
      </c>
      <c r="E49" s="13" t="n">
        <v>58.8</v>
      </c>
      <c r="F49" s="13" t="n">
        <v>3.76</v>
      </c>
      <c r="G49" s="13" t="n">
        <v>10</v>
      </c>
      <c r="H49" s="13" t="n">
        <v>3.52</v>
      </c>
      <c r="I49" s="13" t="n">
        <v>2.22</v>
      </c>
      <c r="J49" s="13" t="n">
        <v>100</v>
      </c>
      <c r="K49" s="27" t="n">
        <f aca="false">IF(E49=0,0,F49/E49)</f>
        <v>0.0639455782312925</v>
      </c>
    </row>
    <row r="50" customFormat="false" ht="15" hidden="false" customHeight="true" outlineLevel="0" collapsed="false">
      <c r="A50" s="13" t="s">
        <v>163</v>
      </c>
      <c r="B50" s="13" t="n">
        <v>4</v>
      </c>
      <c r="C50" s="13" t="n">
        <v>4</v>
      </c>
      <c r="D50" s="13" t="n">
        <v>60</v>
      </c>
      <c r="E50" s="13" t="n">
        <v>75.5</v>
      </c>
      <c r="F50" s="13" t="n">
        <v>4.64</v>
      </c>
      <c r="G50" s="13" t="n">
        <v>10</v>
      </c>
      <c r="H50" s="13" t="n">
        <v>5.98</v>
      </c>
      <c r="I50" s="13" t="n">
        <v>2.87</v>
      </c>
      <c r="J50" s="13" t="n">
        <v>100</v>
      </c>
      <c r="K50" s="27" t="n">
        <f aca="false">IF(E50=0,0,F50/E50)</f>
        <v>0.0614569536423841</v>
      </c>
    </row>
    <row r="51" customFormat="false" ht="15" hidden="false" customHeight="true" outlineLevel="0" collapsed="false">
      <c r="A51" s="13" t="s">
        <v>163</v>
      </c>
      <c r="B51" s="13" t="n">
        <v>5</v>
      </c>
      <c r="C51" s="13" t="n">
        <v>2</v>
      </c>
      <c r="D51" s="13" t="n">
        <v>26</v>
      </c>
      <c r="E51" s="13" t="n">
        <v>60.5</v>
      </c>
      <c r="F51" s="13" t="n">
        <v>3.47</v>
      </c>
      <c r="G51" s="13" t="n">
        <v>8</v>
      </c>
      <c r="H51" s="13" t="n">
        <v>4.26</v>
      </c>
      <c r="I51" s="13" t="n">
        <v>0.42</v>
      </c>
      <c r="J51" s="13" t="n">
        <v>100</v>
      </c>
      <c r="K51" s="27" t="n">
        <f aca="false">IF(E51=0,0,F51/E51)</f>
        <v>0.0573553719008265</v>
      </c>
    </row>
    <row r="52" customFormat="false" ht="15" hidden="false" customHeight="true" outlineLevel="0" collapsed="false">
      <c r="A52" s="13" t="s">
        <v>163</v>
      </c>
      <c r="B52" s="13" t="n">
        <v>5</v>
      </c>
      <c r="C52" s="13" t="n">
        <v>2</v>
      </c>
      <c r="D52" s="13" t="n">
        <v>40</v>
      </c>
      <c r="E52" s="13" t="n">
        <v>77.3</v>
      </c>
      <c r="F52" s="13" t="n">
        <v>4.24</v>
      </c>
      <c r="G52" s="13" t="n">
        <v>8</v>
      </c>
      <c r="H52" s="13" t="n">
        <v>7.5</v>
      </c>
      <c r="I52" s="13" t="n">
        <v>0.96</v>
      </c>
      <c r="J52" s="13" t="n">
        <v>100</v>
      </c>
      <c r="K52" s="27" t="n">
        <f aca="false">IF(E52=0,0,F52/E52)</f>
        <v>0.0548512289780078</v>
      </c>
    </row>
    <row r="53" customFormat="false" ht="15" hidden="false" customHeight="true" outlineLevel="0" collapsed="false">
      <c r="A53" s="13" t="s">
        <v>163</v>
      </c>
      <c r="B53" s="13" t="n">
        <v>5</v>
      </c>
      <c r="C53" s="13" t="n">
        <v>2</v>
      </c>
      <c r="D53" s="13" t="n">
        <v>60</v>
      </c>
      <c r="E53" s="13" t="n">
        <v>90.8</v>
      </c>
      <c r="F53" s="13" t="n">
        <v>3.96</v>
      </c>
      <c r="G53" s="13" t="n">
        <v>8</v>
      </c>
      <c r="H53" s="13" t="n">
        <v>8.92</v>
      </c>
      <c r="I53" s="13" t="n">
        <v>1.72</v>
      </c>
      <c r="J53" s="13" t="n">
        <v>100</v>
      </c>
      <c r="K53" s="27" t="n">
        <f aca="false">IF(E53=0,0,F53/E53)</f>
        <v>0.0436123348017621</v>
      </c>
    </row>
    <row r="54" customFormat="false" ht="15" hidden="false" customHeight="true" outlineLevel="0" collapsed="false">
      <c r="A54" s="13" t="s">
        <v>163</v>
      </c>
      <c r="B54" s="13" t="n">
        <v>5</v>
      </c>
      <c r="C54" s="13" t="n">
        <v>3</v>
      </c>
      <c r="D54" s="13" t="n">
        <v>26</v>
      </c>
      <c r="E54" s="13" t="n">
        <v>63.1</v>
      </c>
      <c r="F54" s="13" t="n">
        <v>3.92</v>
      </c>
      <c r="G54" s="13" t="n">
        <v>11</v>
      </c>
      <c r="H54" s="13" t="n">
        <v>3.56</v>
      </c>
      <c r="I54" s="13" t="n">
        <v>2.5</v>
      </c>
      <c r="J54" s="13" t="n">
        <v>100</v>
      </c>
      <c r="K54" s="27" t="n">
        <f aca="false">IF(E54=0,0,F54/E54)</f>
        <v>0.0621236133122029</v>
      </c>
    </row>
    <row r="55" customFormat="false" ht="15" hidden="false" customHeight="true" outlineLevel="0" collapsed="false">
      <c r="A55" s="13" t="s">
        <v>163</v>
      </c>
      <c r="B55" s="13" t="n">
        <v>5</v>
      </c>
      <c r="C55" s="13" t="n">
        <v>3</v>
      </c>
      <c r="D55" s="13" t="n">
        <v>40</v>
      </c>
      <c r="E55" s="13" t="n">
        <v>80.2</v>
      </c>
      <c r="F55" s="13" t="n">
        <v>4.8</v>
      </c>
      <c r="G55" s="13" t="n">
        <v>11</v>
      </c>
      <c r="H55" s="13" t="n">
        <v>6.66</v>
      </c>
      <c r="I55" s="13" t="n">
        <v>2.89</v>
      </c>
      <c r="J55" s="13" t="n">
        <v>100</v>
      </c>
      <c r="K55" s="27" t="n">
        <f aca="false">IF(E55=0,0,F55/E55)</f>
        <v>0.0598503740648379</v>
      </c>
    </row>
    <row r="56" customFormat="false" ht="15" hidden="false" customHeight="true" outlineLevel="0" collapsed="false">
      <c r="A56" s="13" t="s">
        <v>163</v>
      </c>
      <c r="B56" s="13" t="n">
        <v>5</v>
      </c>
      <c r="C56" s="13" t="n">
        <v>3</v>
      </c>
      <c r="D56" s="13" t="n">
        <v>60</v>
      </c>
      <c r="E56" s="13" t="n">
        <v>95.7</v>
      </c>
      <c r="F56" s="13" t="n">
        <v>4.48</v>
      </c>
      <c r="G56" s="13" t="n">
        <v>11</v>
      </c>
      <c r="H56" s="13" t="n">
        <v>8.27</v>
      </c>
      <c r="I56" s="13" t="n">
        <v>3.85</v>
      </c>
      <c r="J56" s="13" t="n">
        <v>100</v>
      </c>
      <c r="K56" s="27" t="n">
        <f aca="false">IF(E56=0,0,F56/E56)</f>
        <v>0.0468129571577847</v>
      </c>
    </row>
    <row r="57" customFormat="false" ht="15" hidden="false" customHeight="true" outlineLevel="0" collapsed="false">
      <c r="A57" s="13" t="s">
        <v>163</v>
      </c>
      <c r="B57" s="13" t="n">
        <v>5</v>
      </c>
      <c r="C57" s="13" t="n">
        <v>4</v>
      </c>
      <c r="D57" s="13" t="n">
        <v>26</v>
      </c>
      <c r="E57" s="13" t="n">
        <v>61.8</v>
      </c>
      <c r="F57" s="13" t="n">
        <v>3.85</v>
      </c>
      <c r="G57" s="13" t="n">
        <v>12</v>
      </c>
      <c r="H57" s="13" t="n">
        <v>2.71</v>
      </c>
      <c r="I57" s="13" t="n">
        <v>2.56</v>
      </c>
      <c r="J57" s="13" t="n">
        <v>100</v>
      </c>
      <c r="K57" s="27" t="n">
        <f aca="false">IF(E57=0,0,F57/E57)</f>
        <v>0.0622977346278317</v>
      </c>
    </row>
    <row r="58" customFormat="false" ht="15" hidden="false" customHeight="true" outlineLevel="0" collapsed="false">
      <c r="A58" s="13" t="s">
        <v>163</v>
      </c>
      <c r="B58" s="13" t="n">
        <v>5</v>
      </c>
      <c r="C58" s="13" t="n">
        <v>4</v>
      </c>
      <c r="D58" s="13" t="n">
        <v>40</v>
      </c>
      <c r="E58" s="13" t="n">
        <v>78.2</v>
      </c>
      <c r="F58" s="13" t="n">
        <v>4.68</v>
      </c>
      <c r="G58" s="13" t="n">
        <v>12</v>
      </c>
      <c r="H58" s="13" t="n">
        <v>5.6</v>
      </c>
      <c r="I58" s="13" t="n">
        <v>2.78</v>
      </c>
      <c r="J58" s="13" t="n">
        <v>100</v>
      </c>
      <c r="K58" s="27" t="n">
        <f aca="false">IF(E58=0,0,F58/E58)</f>
        <v>0.059846547314578</v>
      </c>
    </row>
    <row r="59" customFormat="false" ht="15" hidden="false" customHeight="true" outlineLevel="0" collapsed="false">
      <c r="A59" s="13" t="s">
        <v>163</v>
      </c>
      <c r="B59" s="13" t="n">
        <v>5</v>
      </c>
      <c r="C59" s="13" t="n">
        <v>4</v>
      </c>
      <c r="D59" s="13" t="n">
        <v>60</v>
      </c>
      <c r="E59" s="13" t="n">
        <v>93.3</v>
      </c>
      <c r="F59" s="13" t="n">
        <v>4.36</v>
      </c>
      <c r="G59" s="13" t="n">
        <v>12</v>
      </c>
      <c r="H59" s="13" t="n">
        <v>7.28</v>
      </c>
      <c r="I59" s="13" t="n">
        <v>3.76</v>
      </c>
      <c r="J59" s="13" t="n">
        <v>100</v>
      </c>
      <c r="K59" s="27" t="n">
        <f aca="false">IF(E59=0,0,F59/E59)</f>
        <v>0.0467309753483387</v>
      </c>
    </row>
    <row r="60" customFormat="false" ht="15" hidden="false" customHeight="true" outlineLevel="0" collapsed="false">
      <c r="A60" s="13" t="s">
        <v>164</v>
      </c>
      <c r="B60" s="13" t="n">
        <v>3</v>
      </c>
      <c r="C60" s="13" t="n">
        <v>2</v>
      </c>
      <c r="D60" s="13" t="n">
        <v>26</v>
      </c>
      <c r="E60" s="13" t="n">
        <v>27.5</v>
      </c>
      <c r="F60" s="13" t="n">
        <v>2.97</v>
      </c>
      <c r="G60" s="13" t="n">
        <v>5</v>
      </c>
      <c r="H60" s="13" t="n">
        <v>1</v>
      </c>
      <c r="I60" s="13" t="n">
        <v>0</v>
      </c>
      <c r="J60" s="13" t="n">
        <v>100</v>
      </c>
      <c r="K60" s="27" t="n">
        <f aca="false">IF(E60=0,0,F60/E60)</f>
        <v>0.108</v>
      </c>
    </row>
    <row r="61" customFormat="false" ht="15" hidden="false" customHeight="true" outlineLevel="0" collapsed="false">
      <c r="A61" s="13" t="s">
        <v>164</v>
      </c>
      <c r="B61" s="13" t="n">
        <v>3</v>
      </c>
      <c r="C61" s="13" t="n">
        <v>2</v>
      </c>
      <c r="D61" s="13" t="n">
        <v>40</v>
      </c>
      <c r="E61" s="13" t="n">
        <v>32.5</v>
      </c>
      <c r="F61" s="13" t="n">
        <v>3.52</v>
      </c>
      <c r="G61" s="13" t="n">
        <v>5</v>
      </c>
      <c r="H61" s="13" t="n">
        <v>2</v>
      </c>
      <c r="I61" s="13" t="n">
        <v>0</v>
      </c>
      <c r="J61" s="13" t="n">
        <v>100</v>
      </c>
      <c r="K61" s="27" t="n">
        <f aca="false">IF(E61=0,0,F61/E61)</f>
        <v>0.108307692307692</v>
      </c>
    </row>
    <row r="62" customFormat="false" ht="15" hidden="false" customHeight="true" outlineLevel="0" collapsed="false">
      <c r="A62" s="13" t="s">
        <v>164</v>
      </c>
      <c r="B62" s="13" t="n">
        <v>3</v>
      </c>
      <c r="C62" s="13" t="n">
        <v>2</v>
      </c>
      <c r="D62" s="13" t="n">
        <v>60</v>
      </c>
      <c r="E62" s="13" t="n">
        <v>33</v>
      </c>
      <c r="F62" s="13" t="n">
        <v>3.3</v>
      </c>
      <c r="G62" s="13" t="n">
        <v>5</v>
      </c>
      <c r="H62" s="13" t="n">
        <v>1</v>
      </c>
      <c r="I62" s="13" t="n">
        <v>0</v>
      </c>
      <c r="J62" s="13" t="n">
        <v>100</v>
      </c>
      <c r="K62" s="27" t="n">
        <f aca="false">IF(E62=0,0,F62/E62)</f>
        <v>0.1</v>
      </c>
    </row>
    <row r="63" customFormat="false" ht="15" hidden="false" customHeight="true" outlineLevel="0" collapsed="false">
      <c r="A63" s="13" t="s">
        <v>164</v>
      </c>
      <c r="B63" s="13" t="n">
        <v>3</v>
      </c>
      <c r="C63" s="13" t="n">
        <v>3</v>
      </c>
      <c r="D63" s="13" t="n">
        <v>26</v>
      </c>
      <c r="E63" s="13" t="n">
        <v>27</v>
      </c>
      <c r="F63" s="13" t="n">
        <v>3.38</v>
      </c>
      <c r="G63" s="13" t="n">
        <v>7</v>
      </c>
      <c r="H63" s="13" t="n">
        <v>2</v>
      </c>
      <c r="I63" s="13" t="n">
        <v>0</v>
      </c>
      <c r="J63" s="13" t="n">
        <v>100</v>
      </c>
      <c r="K63" s="27" t="n">
        <f aca="false">IF(E63=0,0,F63/E63)</f>
        <v>0.125185185185185</v>
      </c>
    </row>
    <row r="64" customFormat="false" ht="15" hidden="false" customHeight="true" outlineLevel="0" collapsed="false">
      <c r="A64" s="13" t="s">
        <v>164</v>
      </c>
      <c r="B64" s="13" t="n">
        <v>3</v>
      </c>
      <c r="C64" s="13" t="n">
        <v>3</v>
      </c>
      <c r="D64" s="13" t="n">
        <v>40</v>
      </c>
      <c r="E64" s="13" t="n">
        <v>33</v>
      </c>
      <c r="F64" s="13" t="n">
        <v>4.13</v>
      </c>
      <c r="G64" s="13" t="n">
        <v>7</v>
      </c>
      <c r="H64" s="13" t="n">
        <v>4</v>
      </c>
      <c r="I64" s="13" t="n">
        <v>0</v>
      </c>
      <c r="J64" s="13" t="n">
        <v>100</v>
      </c>
      <c r="K64" s="27" t="n">
        <f aca="false">IF(E64=0,0,F64/E64)</f>
        <v>0.125151515151515</v>
      </c>
    </row>
    <row r="65" customFormat="false" ht="15" hidden="false" customHeight="true" outlineLevel="0" collapsed="false">
      <c r="A65" s="13" t="s">
        <v>164</v>
      </c>
      <c r="B65" s="13" t="n">
        <v>3</v>
      </c>
      <c r="C65" s="13" t="n">
        <v>3</v>
      </c>
      <c r="D65" s="13" t="n">
        <v>60</v>
      </c>
      <c r="E65" s="13" t="n">
        <v>36</v>
      </c>
      <c r="F65" s="13" t="n">
        <v>4.5</v>
      </c>
      <c r="G65" s="13" t="n">
        <v>7</v>
      </c>
      <c r="H65" s="13" t="n">
        <v>4</v>
      </c>
      <c r="I65" s="13" t="n">
        <v>0</v>
      </c>
      <c r="J65" s="13" t="n">
        <v>100</v>
      </c>
      <c r="K65" s="27" t="n">
        <f aca="false">IF(E65=0,0,F65/E65)</f>
        <v>0.125</v>
      </c>
    </row>
    <row r="66" customFormat="false" ht="15" hidden="false" customHeight="true" outlineLevel="0" collapsed="false">
      <c r="A66" s="13" t="s">
        <v>164</v>
      </c>
      <c r="B66" s="13" t="n">
        <v>3</v>
      </c>
      <c r="C66" s="13" t="n">
        <v>4</v>
      </c>
      <c r="D66" s="13" t="n">
        <v>26</v>
      </c>
      <c r="E66" s="13" t="n">
        <v>27</v>
      </c>
      <c r="F66" s="13" t="n">
        <v>3.38</v>
      </c>
      <c r="G66" s="13" t="n">
        <v>9</v>
      </c>
      <c r="H66" s="13" t="n">
        <v>1</v>
      </c>
      <c r="I66" s="13" t="n">
        <v>1</v>
      </c>
      <c r="J66" s="13" t="n">
        <v>100</v>
      </c>
      <c r="K66" s="27" t="n">
        <f aca="false">IF(E66=0,0,F66/E66)</f>
        <v>0.125185185185185</v>
      </c>
    </row>
    <row r="67" customFormat="false" ht="15" hidden="false" customHeight="true" outlineLevel="0" collapsed="false">
      <c r="A67" s="13" t="s">
        <v>164</v>
      </c>
      <c r="B67" s="13" t="n">
        <v>3</v>
      </c>
      <c r="C67" s="13" t="n">
        <v>4</v>
      </c>
      <c r="D67" s="13" t="n">
        <v>40</v>
      </c>
      <c r="E67" s="13" t="n">
        <v>33</v>
      </c>
      <c r="F67" s="13" t="n">
        <v>4.13</v>
      </c>
      <c r="G67" s="13" t="n">
        <v>9</v>
      </c>
      <c r="H67" s="13" t="n">
        <v>3</v>
      </c>
      <c r="I67" s="13" t="n">
        <v>1</v>
      </c>
      <c r="J67" s="13" t="n">
        <v>100</v>
      </c>
      <c r="K67" s="27" t="n">
        <f aca="false">IF(E67=0,0,F67/E67)</f>
        <v>0.125151515151515</v>
      </c>
    </row>
    <row r="68" customFormat="false" ht="15" hidden="false" customHeight="true" outlineLevel="0" collapsed="false">
      <c r="A68" s="13" t="s">
        <v>164</v>
      </c>
      <c r="B68" s="13" t="n">
        <v>3</v>
      </c>
      <c r="C68" s="13" t="n">
        <v>4</v>
      </c>
      <c r="D68" s="13" t="n">
        <v>60</v>
      </c>
      <c r="E68" s="13" t="n">
        <v>40.7</v>
      </c>
      <c r="F68" s="13" t="n">
        <v>5.09</v>
      </c>
      <c r="G68" s="13" t="n">
        <v>9</v>
      </c>
      <c r="H68" s="13" t="n">
        <v>4</v>
      </c>
      <c r="I68" s="13" t="n">
        <v>2.23</v>
      </c>
      <c r="J68" s="13" t="n">
        <v>100</v>
      </c>
      <c r="K68" s="27" t="n">
        <f aca="false">IF(E68=0,0,F68/E68)</f>
        <v>0.125061425061425</v>
      </c>
    </row>
    <row r="69" customFormat="false" ht="15" hidden="false" customHeight="true" outlineLevel="0" collapsed="false">
      <c r="A69" s="13" t="s">
        <v>164</v>
      </c>
      <c r="B69" s="13" t="n">
        <v>4</v>
      </c>
      <c r="C69" s="13" t="n">
        <v>2</v>
      </c>
      <c r="D69" s="13" t="n">
        <v>26</v>
      </c>
      <c r="E69" s="13" t="n">
        <v>28.5</v>
      </c>
      <c r="F69" s="13" t="n">
        <v>3.06</v>
      </c>
      <c r="G69" s="13" t="n">
        <v>6</v>
      </c>
      <c r="H69" s="13" t="n">
        <v>1.42</v>
      </c>
      <c r="I69" s="13" t="n">
        <v>0</v>
      </c>
      <c r="J69" s="13" t="n">
        <v>100</v>
      </c>
      <c r="K69" s="27" t="n">
        <f aca="false">IF(E69=0,0,F69/E69)</f>
        <v>0.107368421052632</v>
      </c>
    </row>
    <row r="70" customFormat="false" ht="15" hidden="false" customHeight="true" outlineLevel="0" collapsed="false">
      <c r="A70" s="13" t="s">
        <v>164</v>
      </c>
      <c r="B70" s="13" t="n">
        <v>4</v>
      </c>
      <c r="C70" s="13" t="n">
        <v>2</v>
      </c>
      <c r="D70" s="13" t="n">
        <v>40</v>
      </c>
      <c r="E70" s="13" t="n">
        <v>31.9</v>
      </c>
      <c r="F70" s="13" t="n">
        <v>3.4</v>
      </c>
      <c r="G70" s="13" t="n">
        <v>6</v>
      </c>
      <c r="H70" s="13" t="n">
        <v>1.42</v>
      </c>
      <c r="I70" s="13" t="n">
        <v>0</v>
      </c>
      <c r="J70" s="13" t="n">
        <v>100</v>
      </c>
      <c r="K70" s="27" t="n">
        <f aca="false">IF(E70=0,0,F70/E70)</f>
        <v>0.106583072100313</v>
      </c>
    </row>
    <row r="71" customFormat="false" ht="15" hidden="false" customHeight="true" outlineLevel="0" collapsed="false">
      <c r="A71" s="13" t="s">
        <v>164</v>
      </c>
      <c r="B71" s="13" t="n">
        <v>4</v>
      </c>
      <c r="C71" s="13" t="n">
        <v>2</v>
      </c>
      <c r="D71" s="13" t="n">
        <v>60</v>
      </c>
      <c r="E71" s="13" t="n">
        <v>34.2</v>
      </c>
      <c r="F71" s="13" t="n">
        <v>3.64</v>
      </c>
      <c r="G71" s="13" t="n">
        <v>6</v>
      </c>
      <c r="H71" s="13" t="n">
        <v>2.79</v>
      </c>
      <c r="I71" s="13" t="n">
        <v>0</v>
      </c>
      <c r="J71" s="13" t="n">
        <v>100</v>
      </c>
      <c r="K71" s="27" t="n">
        <f aca="false">IF(E71=0,0,F71/E71)</f>
        <v>0.106432748538012</v>
      </c>
    </row>
    <row r="72" customFormat="false" ht="15" hidden="false" customHeight="true" outlineLevel="0" collapsed="false">
      <c r="A72" s="13" t="s">
        <v>164</v>
      </c>
      <c r="B72" s="13" t="n">
        <v>4</v>
      </c>
      <c r="C72" s="13" t="n">
        <v>3</v>
      </c>
      <c r="D72" s="13" t="n">
        <v>26</v>
      </c>
      <c r="E72" s="13" t="n">
        <v>31.3</v>
      </c>
      <c r="F72" s="13" t="n">
        <v>3.72</v>
      </c>
      <c r="G72" s="13" t="n">
        <v>8</v>
      </c>
      <c r="H72" s="13" t="n">
        <v>3.08</v>
      </c>
      <c r="I72" s="13" t="n">
        <v>0.11</v>
      </c>
      <c r="J72" s="13" t="n">
        <v>100</v>
      </c>
      <c r="K72" s="27" t="n">
        <f aca="false">IF(E72=0,0,F72/E72)</f>
        <v>0.118849840255591</v>
      </c>
    </row>
    <row r="73" customFormat="false" ht="15" hidden="false" customHeight="true" outlineLevel="0" collapsed="false">
      <c r="A73" s="13" t="s">
        <v>164</v>
      </c>
      <c r="B73" s="13" t="n">
        <v>4</v>
      </c>
      <c r="C73" s="13" t="n">
        <v>3</v>
      </c>
      <c r="D73" s="13" t="n">
        <v>40</v>
      </c>
      <c r="E73" s="13" t="n">
        <v>36.7</v>
      </c>
      <c r="F73" s="13" t="n">
        <v>4.33</v>
      </c>
      <c r="G73" s="13" t="n">
        <v>8</v>
      </c>
      <c r="H73" s="13" t="n">
        <v>3.92</v>
      </c>
      <c r="I73" s="13" t="n">
        <v>0.11</v>
      </c>
      <c r="J73" s="13" t="n">
        <v>100</v>
      </c>
      <c r="K73" s="27" t="n">
        <f aca="false">IF(E73=0,0,F73/E73)</f>
        <v>0.117983651226158</v>
      </c>
    </row>
    <row r="74" customFormat="false" ht="15" hidden="false" customHeight="true" outlineLevel="0" collapsed="false">
      <c r="A74" s="13" t="s">
        <v>164</v>
      </c>
      <c r="B74" s="13" t="n">
        <v>4</v>
      </c>
      <c r="C74" s="13" t="n">
        <v>3</v>
      </c>
      <c r="D74" s="13" t="n">
        <v>60</v>
      </c>
      <c r="E74" s="13" t="n">
        <v>36.7</v>
      </c>
      <c r="F74" s="13" t="n">
        <v>4.26</v>
      </c>
      <c r="G74" s="13" t="n">
        <v>8</v>
      </c>
      <c r="H74" s="13" t="n">
        <v>3.39</v>
      </c>
      <c r="I74" s="13" t="n">
        <v>0.23</v>
      </c>
      <c r="J74" s="13" t="n">
        <v>100</v>
      </c>
      <c r="K74" s="27" t="n">
        <f aca="false">IF(E74=0,0,F74/E74)</f>
        <v>0.116076294277929</v>
      </c>
    </row>
    <row r="75" customFormat="false" ht="15" hidden="false" customHeight="true" outlineLevel="0" collapsed="false">
      <c r="A75" s="13" t="s">
        <v>164</v>
      </c>
      <c r="B75" s="13" t="n">
        <v>4</v>
      </c>
      <c r="C75" s="13" t="n">
        <v>4</v>
      </c>
      <c r="D75" s="13" t="n">
        <v>26</v>
      </c>
      <c r="E75" s="13" t="n">
        <v>31.6</v>
      </c>
      <c r="F75" s="13" t="n">
        <v>3.82</v>
      </c>
      <c r="G75" s="13" t="n">
        <v>10</v>
      </c>
      <c r="H75" s="13" t="n">
        <v>2.49</v>
      </c>
      <c r="I75" s="13" t="n">
        <v>1.05</v>
      </c>
      <c r="J75" s="13" t="n">
        <v>100</v>
      </c>
      <c r="K75" s="27" t="n">
        <f aca="false">IF(E75=0,0,F75/E75)</f>
        <v>0.120886075949367</v>
      </c>
    </row>
    <row r="76" customFormat="false" ht="15" hidden="false" customHeight="true" outlineLevel="0" collapsed="false">
      <c r="A76" s="13" t="s">
        <v>164</v>
      </c>
      <c r="B76" s="13" t="n">
        <v>4</v>
      </c>
      <c r="C76" s="13" t="n">
        <v>4</v>
      </c>
      <c r="D76" s="13" t="n">
        <v>40</v>
      </c>
      <c r="E76" s="13" t="n">
        <v>37.1</v>
      </c>
      <c r="F76" s="13" t="n">
        <v>4.44</v>
      </c>
      <c r="G76" s="13" t="n">
        <v>10</v>
      </c>
      <c r="H76" s="13" t="n">
        <v>3.35</v>
      </c>
      <c r="I76" s="13" t="n">
        <v>2.07</v>
      </c>
      <c r="J76" s="13" t="n">
        <v>100</v>
      </c>
      <c r="K76" s="27" t="n">
        <f aca="false">IF(E76=0,0,F76/E76)</f>
        <v>0.119676549865229</v>
      </c>
    </row>
    <row r="77" customFormat="false" ht="15" hidden="false" customHeight="true" outlineLevel="0" collapsed="false">
      <c r="A77" s="13" t="s">
        <v>164</v>
      </c>
      <c r="B77" s="13" t="n">
        <v>4</v>
      </c>
      <c r="C77" s="13" t="n">
        <v>4</v>
      </c>
      <c r="D77" s="13" t="n">
        <v>60</v>
      </c>
      <c r="E77" s="13" t="n">
        <v>37.4</v>
      </c>
      <c r="F77" s="13" t="n">
        <v>4.34</v>
      </c>
      <c r="G77" s="13" t="n">
        <v>10</v>
      </c>
      <c r="H77" s="13" t="n">
        <v>2.98</v>
      </c>
      <c r="I77" s="13" t="n">
        <v>1</v>
      </c>
      <c r="J77" s="13" t="n">
        <v>100</v>
      </c>
      <c r="K77" s="27" t="n">
        <f aca="false">IF(E77=0,0,F77/E77)</f>
        <v>0.116042780748663</v>
      </c>
    </row>
    <row r="78" customFormat="false" ht="15" hidden="false" customHeight="true" outlineLevel="0" collapsed="false">
      <c r="A78" s="13" t="s">
        <v>164</v>
      </c>
      <c r="B78" s="13" t="n">
        <v>5</v>
      </c>
      <c r="C78" s="13" t="n">
        <v>2</v>
      </c>
      <c r="D78" s="13" t="n">
        <v>26</v>
      </c>
      <c r="E78" s="13" t="n">
        <v>35.1</v>
      </c>
      <c r="F78" s="13" t="n">
        <v>3.76</v>
      </c>
      <c r="G78" s="13" t="n">
        <v>8</v>
      </c>
      <c r="H78" s="13" t="n">
        <v>2.85</v>
      </c>
      <c r="I78" s="13" t="n">
        <v>0.12</v>
      </c>
      <c r="J78" s="13" t="n">
        <v>100</v>
      </c>
      <c r="K78" s="27" t="n">
        <f aca="false">IF(E78=0,0,F78/E78)</f>
        <v>0.107122507122507</v>
      </c>
    </row>
    <row r="79" customFormat="false" ht="15" hidden="false" customHeight="true" outlineLevel="0" collapsed="false">
      <c r="A79" s="13" t="s">
        <v>164</v>
      </c>
      <c r="B79" s="13" t="n">
        <v>5</v>
      </c>
      <c r="C79" s="13" t="n">
        <v>2</v>
      </c>
      <c r="D79" s="13" t="n">
        <v>40</v>
      </c>
      <c r="E79" s="13" t="n">
        <v>37</v>
      </c>
      <c r="F79" s="13" t="n">
        <v>3.61</v>
      </c>
      <c r="G79" s="13" t="n">
        <v>8</v>
      </c>
      <c r="H79" s="13" t="n">
        <v>3.52</v>
      </c>
      <c r="I79" s="13" t="n">
        <v>0.06</v>
      </c>
      <c r="J79" s="13" t="n">
        <v>100</v>
      </c>
      <c r="K79" s="27" t="n">
        <f aca="false">IF(E79=0,0,F79/E79)</f>
        <v>0.0975675675675676</v>
      </c>
    </row>
    <row r="80" customFormat="false" ht="15" hidden="false" customHeight="true" outlineLevel="0" collapsed="false">
      <c r="A80" s="13" t="s">
        <v>164</v>
      </c>
      <c r="B80" s="13" t="n">
        <v>5</v>
      </c>
      <c r="C80" s="13" t="n">
        <v>2</v>
      </c>
      <c r="D80" s="13" t="n">
        <v>60</v>
      </c>
      <c r="E80" s="13" t="n">
        <v>42.9</v>
      </c>
      <c r="F80" s="13" t="n">
        <v>3.35</v>
      </c>
      <c r="G80" s="13" t="n">
        <v>8</v>
      </c>
      <c r="H80" s="13" t="n">
        <v>3.83</v>
      </c>
      <c r="I80" s="13" t="n">
        <v>0.06</v>
      </c>
      <c r="J80" s="13" t="n">
        <v>100</v>
      </c>
      <c r="K80" s="27" t="n">
        <f aca="false">IF(E80=0,0,F80/E80)</f>
        <v>0.0780885780885781</v>
      </c>
    </row>
    <row r="81" customFormat="false" ht="15" hidden="false" customHeight="true" outlineLevel="0" collapsed="false">
      <c r="A81" s="13" t="s">
        <v>164</v>
      </c>
      <c r="B81" s="13" t="n">
        <v>5</v>
      </c>
      <c r="C81" s="13" t="n">
        <v>3</v>
      </c>
      <c r="D81" s="13" t="n">
        <v>26</v>
      </c>
      <c r="E81" s="13" t="n">
        <v>38.1</v>
      </c>
      <c r="F81" s="13" t="n">
        <v>4.6</v>
      </c>
      <c r="G81" s="13" t="n">
        <v>11</v>
      </c>
      <c r="H81" s="13" t="n">
        <v>2.76</v>
      </c>
      <c r="I81" s="13" t="n">
        <v>1.46</v>
      </c>
      <c r="J81" s="13" t="n">
        <v>100</v>
      </c>
      <c r="K81" s="27" t="n">
        <f aca="false">IF(E81=0,0,F81/E81)</f>
        <v>0.120734908136483</v>
      </c>
    </row>
    <row r="82" customFormat="false" ht="15" hidden="false" customHeight="true" outlineLevel="0" collapsed="false">
      <c r="A82" s="13" t="s">
        <v>164</v>
      </c>
      <c r="B82" s="13" t="n">
        <v>5</v>
      </c>
      <c r="C82" s="13" t="n">
        <v>3</v>
      </c>
      <c r="D82" s="13" t="n">
        <v>40</v>
      </c>
      <c r="E82" s="13" t="n">
        <v>39</v>
      </c>
      <c r="F82" s="13" t="n">
        <v>4.18</v>
      </c>
      <c r="G82" s="13" t="n">
        <v>11</v>
      </c>
      <c r="H82" s="13" t="n">
        <v>3.44</v>
      </c>
      <c r="I82" s="13" t="n">
        <v>1.46</v>
      </c>
      <c r="J82" s="13" t="n">
        <v>100</v>
      </c>
      <c r="K82" s="27" t="n">
        <f aca="false">IF(E82=0,0,F82/E82)</f>
        <v>0.107179487179487</v>
      </c>
    </row>
    <row r="83" customFormat="false" ht="15" hidden="false" customHeight="true" outlineLevel="0" collapsed="false">
      <c r="A83" s="13" t="s">
        <v>164</v>
      </c>
      <c r="B83" s="13" t="n">
        <v>5</v>
      </c>
      <c r="C83" s="13" t="n">
        <v>3</v>
      </c>
      <c r="D83" s="13" t="n">
        <v>60</v>
      </c>
      <c r="E83" s="13" t="n">
        <v>46.2</v>
      </c>
      <c r="F83" s="13" t="n">
        <v>3.88</v>
      </c>
      <c r="G83" s="13" t="n">
        <v>11</v>
      </c>
      <c r="H83" s="13" t="n">
        <v>3.75</v>
      </c>
      <c r="I83" s="13" t="n">
        <v>1.51</v>
      </c>
      <c r="J83" s="13" t="n">
        <v>100</v>
      </c>
      <c r="K83" s="27" t="n">
        <f aca="false">IF(E83=0,0,F83/E83)</f>
        <v>0.083982683982684</v>
      </c>
    </row>
    <row r="84" customFormat="false" ht="15" hidden="false" customHeight="true" outlineLevel="0" collapsed="false">
      <c r="A84" s="13" t="s">
        <v>164</v>
      </c>
      <c r="B84" s="13" t="n">
        <v>5</v>
      </c>
      <c r="C84" s="13" t="n">
        <v>4</v>
      </c>
      <c r="D84" s="13" t="n">
        <v>26</v>
      </c>
      <c r="E84" s="13" t="n">
        <v>36.4</v>
      </c>
      <c r="F84" s="13" t="n">
        <v>4.39</v>
      </c>
      <c r="G84" s="13" t="n">
        <v>12</v>
      </c>
      <c r="H84" s="13" t="n">
        <v>2.2</v>
      </c>
      <c r="I84" s="13" t="n">
        <v>1.18</v>
      </c>
      <c r="J84" s="13" t="n">
        <v>100</v>
      </c>
      <c r="K84" s="27" t="n">
        <f aca="false">IF(E84=0,0,F84/E84)</f>
        <v>0.120604395604396</v>
      </c>
    </row>
    <row r="85" customFormat="false" ht="15" hidden="false" customHeight="true" outlineLevel="0" collapsed="false">
      <c r="A85" s="13" t="s">
        <v>164</v>
      </c>
      <c r="B85" s="13" t="n">
        <v>5</v>
      </c>
      <c r="C85" s="13" t="n">
        <v>4</v>
      </c>
      <c r="D85" s="13" t="n">
        <v>40</v>
      </c>
      <c r="E85" s="13" t="n">
        <v>38.1</v>
      </c>
      <c r="F85" s="13" t="n">
        <v>4.13</v>
      </c>
      <c r="G85" s="13" t="n">
        <v>12</v>
      </c>
      <c r="H85" s="13" t="n">
        <v>2.99</v>
      </c>
      <c r="I85" s="13" t="n">
        <v>1.46</v>
      </c>
      <c r="J85" s="13" t="n">
        <v>100</v>
      </c>
      <c r="K85" s="27" t="n">
        <f aca="false">IF(E85=0,0,F85/E85)</f>
        <v>0.108398950131234</v>
      </c>
    </row>
    <row r="86" customFormat="false" ht="15" hidden="false" customHeight="true" outlineLevel="0" collapsed="false">
      <c r="A86" s="13" t="s">
        <v>164</v>
      </c>
      <c r="B86" s="13" t="n">
        <v>5</v>
      </c>
      <c r="C86" s="13" t="n">
        <v>4</v>
      </c>
      <c r="D86" s="13" t="n">
        <v>60</v>
      </c>
      <c r="E86" s="13" t="n">
        <v>45.5</v>
      </c>
      <c r="F86" s="13" t="n">
        <v>3.87</v>
      </c>
      <c r="G86" s="13" t="n">
        <v>12</v>
      </c>
      <c r="H86" s="13" t="n">
        <v>3.34</v>
      </c>
      <c r="I86" s="13" t="n">
        <v>1.52</v>
      </c>
      <c r="J86" s="13" t="n">
        <v>100</v>
      </c>
      <c r="K86" s="27" t="n">
        <f aca="false">IF(E86=0,0,F86/E86)</f>
        <v>0.0850549450549451</v>
      </c>
    </row>
    <row r="89" customFormat="false" ht="15" hidden="false" customHeight="true" outlineLevel="0" collapsed="false">
      <c r="A89" s="2" t="s">
        <v>165</v>
      </c>
    </row>
    <row r="90" customFormat="false" ht="15" hidden="false" customHeight="true" outlineLevel="0" collapsed="false">
      <c r="A90" s="7" t="s">
        <v>166</v>
      </c>
    </row>
    <row r="91" customFormat="false" ht="15" hidden="false" customHeight="true" outlineLevel="0" collapsed="false">
      <c r="B91" s="14" t="s">
        <v>167</v>
      </c>
      <c r="C91" s="14" t="s">
        <v>168</v>
      </c>
      <c r="D91" s="14" t="s">
        <v>169</v>
      </c>
    </row>
    <row r="92" customFormat="false" ht="15" hidden="false" customHeight="true" outlineLevel="0" collapsed="false">
      <c r="A92" s="15" t="s">
        <v>170</v>
      </c>
      <c r="B92" s="16" t="n">
        <f aca="false">IFERROR(AVERAGEIFS('Follow-up chains'!$F$6:$F$86,'Follow-up chains'!$B$6:$B$86,3,'Follow-up chains'!$D$6:$D$86,26),"")</f>
        <v>3.04333333333333</v>
      </c>
      <c r="C92" s="16" t="n">
        <f aca="false">IFERROR(AVERAGEIFS('Follow-up chains'!$F$6:$F$86,'Follow-up chains'!$B$6:$B$86,3,'Follow-up chains'!$D$6:$D$86,40),"")</f>
        <v>3.85777777777778</v>
      </c>
      <c r="D92" s="16" t="n">
        <f aca="false">IFERROR(AVERAGEIFS('Follow-up chains'!$F$6:$F$86,'Follow-up chains'!$B$6:$B$86,3,'Follow-up chains'!$D$6:$D$86,60),"")</f>
        <v>4.22444444444444</v>
      </c>
    </row>
    <row r="93" customFormat="false" ht="15" hidden="false" customHeight="true" outlineLevel="0" collapsed="false">
      <c r="A93" s="15" t="s">
        <v>171</v>
      </c>
      <c r="B93" s="16" t="n">
        <f aca="false">IFERROR(AVERAGEIFS('Follow-up chains'!$F$6:$F$86,'Follow-up chains'!$B$6:$B$86,4,'Follow-up chains'!$D$6:$D$86,26),"")</f>
        <v>3.14</v>
      </c>
      <c r="C93" s="16" t="n">
        <f aca="false">IFERROR(AVERAGEIFS('Follow-up chains'!$F$6:$F$86,'Follow-up chains'!$B$6:$B$86,4,'Follow-up chains'!$D$6:$D$86,40),"")</f>
        <v>3.70333333333333</v>
      </c>
      <c r="D93" s="16" t="n">
        <f aca="false">IFERROR(AVERAGEIFS('Follow-up chains'!$F$6:$F$86,'Follow-up chains'!$B$6:$B$86,4,'Follow-up chains'!$D$6:$D$86,60),"")</f>
        <v>4.23</v>
      </c>
    </row>
    <row r="94" customFormat="false" ht="15" hidden="false" customHeight="true" outlineLevel="0" collapsed="false">
      <c r="A94" s="15" t="s">
        <v>172</v>
      </c>
      <c r="B94" s="16" t="n">
        <f aca="false">IFERROR(AVERAGEIFS('Follow-up chains'!$F$6:$F$86,'Follow-up chains'!$B$6:$B$86,5,'Follow-up chains'!$D$6:$D$86,26),"")</f>
        <v>3.94888888888889</v>
      </c>
      <c r="C94" s="16" t="n">
        <f aca="false">IFERROR(AVERAGEIFS('Follow-up chains'!$F$6:$F$86,'Follow-up chains'!$B$6:$B$86,5,'Follow-up chains'!$D$6:$D$86,40),"")</f>
        <v>4.33222222222222</v>
      </c>
      <c r="D94" s="16" t="n">
        <f aca="false">IFERROR(AVERAGEIFS('Follow-up chains'!$F$6:$F$86,'Follow-up chains'!$B$6:$B$86,5,'Follow-up chains'!$D$6:$D$86,60),"")</f>
        <v>4.08444444444444</v>
      </c>
    </row>
    <row r="97" customFormat="false" ht="15" hidden="false" customHeight="true" outlineLevel="0" collapsed="false">
      <c r="A97" s="2" t="s">
        <v>173</v>
      </c>
    </row>
    <row r="98" customFormat="false" ht="15" hidden="false" customHeight="true" outlineLevel="0" collapsed="false">
      <c r="A98" s="7" t="s">
        <v>174</v>
      </c>
    </row>
    <row r="99" customFormat="false" ht="15" hidden="false" customHeight="true" outlineLevel="0" collapsed="false">
      <c r="B99" s="14" t="s">
        <v>167</v>
      </c>
      <c r="C99" s="14" t="s">
        <v>168</v>
      </c>
      <c r="D99" s="14" t="s">
        <v>169</v>
      </c>
    </row>
    <row r="100" customFormat="false" ht="15" hidden="false" customHeight="true" outlineLevel="0" collapsed="false">
      <c r="A100" s="15" t="s">
        <v>170</v>
      </c>
      <c r="B100" s="18" t="n">
        <f aca="false">IFERROR(AVERAGEIFS('Follow-up chains'!$H$6:$H$86,'Follow-up chains'!$B$6:$B$86,3,'Follow-up chains'!$D$6:$D$86,26),"")</f>
        <v>2.46333333333333</v>
      </c>
      <c r="C100" s="18" t="n">
        <f aca="false">IFERROR(AVERAGEIFS('Follow-up chains'!$H$6:$H$86,'Follow-up chains'!$B$6:$B$86,3,'Follow-up chains'!$D$6:$D$86,40),"")</f>
        <v>3.48222222222222</v>
      </c>
      <c r="D100" s="18" t="n">
        <f aca="false">IFERROR(AVERAGEIFS('Follow-up chains'!$H$6:$H$86,'Follow-up chains'!$B$6:$B$86,3,'Follow-up chains'!$D$6:$D$86,60),"")</f>
        <v>4.63222222222222</v>
      </c>
    </row>
    <row r="101" customFormat="false" ht="15" hidden="false" customHeight="true" outlineLevel="0" collapsed="false">
      <c r="A101" s="15" t="s">
        <v>171</v>
      </c>
      <c r="B101" s="18" t="n">
        <f aca="false">IFERROR(AVERAGEIFS('Follow-up chains'!$H$6:$H$86,'Follow-up chains'!$B$6:$B$86,4,'Follow-up chains'!$D$6:$D$86,26),"")</f>
        <v>3.70333333333333</v>
      </c>
      <c r="C101" s="18" t="n">
        <f aca="false">IFERROR(AVERAGEIFS('Follow-up chains'!$H$6:$H$86,'Follow-up chains'!$B$6:$B$86,4,'Follow-up chains'!$D$6:$D$86,40),"")</f>
        <v>4.33111111111111</v>
      </c>
      <c r="D101" s="18" t="n">
        <f aca="false">IFERROR(AVERAGEIFS('Follow-up chains'!$H$6:$H$86,'Follow-up chains'!$B$6:$B$86,4,'Follow-up chains'!$D$6:$D$86,60),"")</f>
        <v>6.66777777777778</v>
      </c>
    </row>
    <row r="102" customFormat="false" ht="15" hidden="false" customHeight="true" outlineLevel="0" collapsed="false">
      <c r="A102" s="15" t="s">
        <v>172</v>
      </c>
      <c r="B102" s="18" t="n">
        <f aca="false">IFERROR(AVERAGEIFS('Follow-up chains'!$H$6:$H$86,'Follow-up chains'!$B$6:$B$86,5,'Follow-up chains'!$D$6:$D$86,26),"")</f>
        <v>3.97333333333333</v>
      </c>
      <c r="C102" s="18" t="n">
        <f aca="false">IFERROR(AVERAGEIFS('Follow-up chains'!$H$6:$H$86,'Follow-up chains'!$B$6:$B$86,5,'Follow-up chains'!$D$6:$D$86,40),"")</f>
        <v>6.73333333333333</v>
      </c>
      <c r="D102" s="18" t="n">
        <f aca="false">IFERROR(AVERAGEIFS('Follow-up chains'!$H$6:$H$86,'Follow-up chains'!$B$6:$B$86,5,'Follow-up chains'!$D$6:$D$86,60),"")</f>
        <v>8.54444444444444</v>
      </c>
    </row>
    <row r="105" customFormat="false" ht="15" hidden="false" customHeight="true" outlineLevel="0" collapsed="false">
      <c r="A105" s="2" t="s">
        <v>175</v>
      </c>
    </row>
    <row r="106" customFormat="false" ht="15" hidden="false" customHeight="true" outlineLevel="0" collapsed="false">
      <c r="A106" s="7" t="s">
        <v>176</v>
      </c>
    </row>
    <row r="107" customFormat="false" ht="15" hidden="false" customHeight="true" outlineLevel="0" collapsed="false">
      <c r="B107" s="14" t="s">
        <v>162</v>
      </c>
      <c r="C107" s="14" t="s">
        <v>163</v>
      </c>
      <c r="D107" s="14" t="s">
        <v>164</v>
      </c>
    </row>
    <row r="108" customFormat="false" ht="15" hidden="false" customHeight="true" outlineLevel="0" collapsed="false">
      <c r="A108" s="15" t="s">
        <v>177</v>
      </c>
      <c r="B108" s="18" t="n">
        <f aca="false">IFERROR(AVERAGEIFS('Follow-up chains'!$E$6:$E$86,'Follow-up chains'!$B$6:$B$86,5,'Follow-up chains'!$C$6:$C$86,2,'Follow-up chains'!$A$6:$A$86,"20 chaff + elites"),"")</f>
        <v>126.733333333333</v>
      </c>
      <c r="C108" s="18" t="n">
        <f aca="false">IFERROR(AVERAGEIFS('Follow-up chains'!$E$6:$E$86,'Follow-up chains'!$B$6:$B$86,5,'Follow-up chains'!$C$6:$C$86,2,'Follow-up chains'!$A$6:$A$86,"12 mixed"),"")</f>
        <v>76.2</v>
      </c>
      <c r="D108" s="18" t="n">
        <f aca="false">IFERROR(AVERAGEIFS('Follow-up chains'!$E$6:$E$86,'Follow-up chains'!$B$6:$B$86,5,'Follow-up chains'!$C$6:$C$86,2,'Follow-up chains'!$A$6:$A$86,"6 elites"),"")</f>
        <v>38.3333333333333</v>
      </c>
    </row>
    <row r="109" customFormat="false" ht="15" hidden="false" customHeight="true" outlineLevel="0" collapsed="false">
      <c r="A109" s="15" t="s">
        <v>178</v>
      </c>
      <c r="B109" s="18" t="n">
        <f aca="false">IFERROR(AVERAGEIFS('Follow-up chains'!$E$6:$E$86,'Follow-up chains'!$B$6:$B$86,5,'Follow-up chains'!$C$6:$C$86,3,'Follow-up chains'!$A$6:$A$86,"20 chaff + elites"),"")</f>
        <v>132.266666666667</v>
      </c>
      <c r="C109" s="18" t="n">
        <f aca="false">IFERROR(AVERAGEIFS('Follow-up chains'!$E$6:$E$86,'Follow-up chains'!$B$6:$B$86,5,'Follow-up chains'!$C$6:$C$86,3,'Follow-up chains'!$A$6:$A$86,"12 mixed"),"")</f>
        <v>79.6666666666667</v>
      </c>
      <c r="D109" s="18" t="n">
        <f aca="false">IFERROR(AVERAGEIFS('Follow-up chains'!$E$6:$E$86,'Follow-up chains'!$B$6:$B$86,5,'Follow-up chains'!$C$6:$C$86,3,'Follow-up chains'!$A$6:$A$86,"6 elites"),"")</f>
        <v>41.1</v>
      </c>
    </row>
    <row r="110" customFormat="false" ht="15" hidden="false" customHeight="true" outlineLevel="0" collapsed="false">
      <c r="A110" s="15" t="s">
        <v>179</v>
      </c>
      <c r="B110" s="18" t="n">
        <f aca="false">IFERROR(AVERAGEIFS('Follow-up chains'!$E$6:$E$86,'Follow-up chains'!$B$6:$B$86,5,'Follow-up chains'!$C$6:$C$86,4,'Follow-up chains'!$A$6:$A$86,"20 chaff + elites"),"")</f>
        <v>129.466666666667</v>
      </c>
      <c r="C110" s="18" t="n">
        <f aca="false">IFERROR(AVERAGEIFS('Follow-up chains'!$E$6:$E$86,'Follow-up chains'!$B$6:$B$86,5,'Follow-up chains'!$C$6:$C$86,4,'Follow-up chains'!$A$6:$A$86,"12 mixed"),"")</f>
        <v>77.7666666666667</v>
      </c>
      <c r="D110" s="18" t="n">
        <f aca="false">IFERROR(AVERAGEIFS('Follow-up chains'!$E$6:$E$86,'Follow-up chains'!$B$6:$B$86,5,'Follow-up chains'!$C$6:$C$86,4,'Follow-up chains'!$A$6:$A$86,"6 elites"),"")</f>
        <v>40</v>
      </c>
    </row>
    <row r="113" customFormat="false" ht="15" hidden="false" customHeight="true" outlineLevel="0" collapsed="false">
      <c r="A113" s="2" t="s">
        <v>180</v>
      </c>
    </row>
    <row r="114" customFormat="false" ht="15" hidden="false" customHeight="true" outlineLevel="0" collapsed="false">
      <c r="A114" s="7" t="s">
        <v>181</v>
      </c>
    </row>
    <row r="115" customFormat="false" ht="15" hidden="false" customHeight="true" outlineLevel="0" collapsed="false">
      <c r="B115" s="14" t="s">
        <v>162</v>
      </c>
      <c r="C115" s="14" t="s">
        <v>163</v>
      </c>
      <c r="D115" s="14" t="s">
        <v>164</v>
      </c>
    </row>
    <row r="116" customFormat="false" ht="15" hidden="false" customHeight="true" outlineLevel="0" collapsed="false">
      <c r="A116" s="15" t="s">
        <v>177</v>
      </c>
      <c r="B116" s="16" t="n">
        <f aca="false">IFERROR(AVERAGEIFS('Follow-up chains'!$F$6:$F$86,'Follow-up chains'!$C$6:$C$86,2,'Follow-up chains'!$A$6:$A$86,"20 chaff + elites"),"")</f>
        <v>3.29888888888889</v>
      </c>
      <c r="C116" s="16" t="n">
        <f aca="false">IFERROR(AVERAGEIFS('Follow-up chains'!$F$6:$F$86,'Follow-up chains'!$C$6:$C$86,2,'Follow-up chains'!$A$6:$A$86,"12 mixed"),"")</f>
        <v>3.48333333333333</v>
      </c>
      <c r="D116" s="16" t="n">
        <f aca="false">IFERROR(AVERAGEIFS('Follow-up chains'!$F$6:$F$86,'Follow-up chains'!$C$6:$C$86,2,'Follow-up chains'!$A$6:$A$86,"6 elites"),"")</f>
        <v>3.40111111111111</v>
      </c>
    </row>
    <row r="117" customFormat="false" ht="15" hidden="false" customHeight="true" outlineLevel="0" collapsed="false">
      <c r="A117" s="15" t="s">
        <v>178</v>
      </c>
      <c r="B117" s="16" t="n">
        <f aca="false">IFERROR(AVERAGEIFS('Follow-up chains'!$F$6:$F$86,'Follow-up chains'!$C$6:$C$86,3,'Follow-up chains'!$A$6:$A$86,"20 chaff + elites"),"")</f>
        <v>3.81777777777778</v>
      </c>
      <c r="C117" s="16" t="n">
        <f aca="false">IFERROR(AVERAGEIFS('Follow-up chains'!$F$6:$F$86,'Follow-up chains'!$C$6:$C$86,3,'Follow-up chains'!$A$6:$A$86,"12 mixed"),"")</f>
        <v>4.15666666666667</v>
      </c>
      <c r="D117" s="16" t="n">
        <f aca="false">IFERROR(AVERAGEIFS('Follow-up chains'!$F$6:$F$86,'Follow-up chains'!$C$6:$C$86,3,'Follow-up chains'!$A$6:$A$86,"6 elites"),"")</f>
        <v>4.10888888888889</v>
      </c>
    </row>
    <row r="118" customFormat="false" ht="15" hidden="false" customHeight="true" outlineLevel="0" collapsed="false">
      <c r="A118" s="15" t="s">
        <v>179</v>
      </c>
      <c r="B118" s="16" t="n">
        <f aca="false">IFERROR(AVERAGEIFS('Follow-up chains'!$F$6:$F$86,'Follow-up chains'!$C$6:$C$86,4,'Follow-up chains'!$A$6:$A$86,"20 chaff + elites"),"")</f>
        <v>3.86777777777778</v>
      </c>
      <c r="C118" s="16" t="n">
        <f aca="false">IFERROR(AVERAGEIFS('Follow-up chains'!$F$6:$F$86,'Follow-up chains'!$C$6:$C$86,4,'Follow-up chains'!$A$6:$A$86,"12 mixed"),"")</f>
        <v>4.25333333333333</v>
      </c>
      <c r="D118" s="16" t="n">
        <f aca="false">IFERROR(AVERAGEIFS('Follow-up chains'!$F$6:$F$86,'Follow-up chains'!$C$6:$C$86,4,'Follow-up chains'!$A$6:$A$86,"6 elites"),"")</f>
        <v>4.17666666666667</v>
      </c>
    </row>
  </sheetData>
  <autoFilter ref="A5:K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5" min="2" style="1" width="20"/>
    <col collapsed="false" customWidth="true" hidden="false" outlineLevel="0" max="7" min="6" style="1" width="9"/>
    <col collapsed="false" customWidth="true" hidden="false" outlineLevel="0" max="9" min="8" style="1" width="11"/>
    <col collapsed="false" customWidth="true" hidden="false" outlineLevel="0" max="10" min="10" style="1" width="14"/>
    <col collapsed="false" customWidth="true" hidden="false" outlineLevel="0" max="11" min="11" style="1" width="11"/>
    <col collapsed="false" customWidth="true" hidden="false" outlineLevel="0" max="13" min="12" style="1" width="15"/>
  </cols>
  <sheetData>
    <row r="1" customFormat="false" ht="17.25" hidden="false" customHeight="true" outlineLevel="0" collapsed="false">
      <c r="A1" s="9" t="s">
        <v>182</v>
      </c>
    </row>
    <row r="2" customFormat="false" ht="15" hidden="false" customHeight="true" outlineLevel="0" collapsed="false">
      <c r="A2" s="7" t="s">
        <v>183</v>
      </c>
    </row>
    <row r="3" customFormat="false" ht="15" hidden="false" customHeight="true" outlineLevel="0" collapsed="false">
      <c r="A3" s="7" t="s">
        <v>184</v>
      </c>
    </row>
    <row r="5" customFormat="false" ht="23.25" hidden="false" customHeight="true" outlineLevel="0" collapsed="false">
      <c r="A5" s="14" t="s">
        <v>185</v>
      </c>
      <c r="B5" s="14" t="s">
        <v>186</v>
      </c>
      <c r="C5" s="14" t="s">
        <v>187</v>
      </c>
      <c r="D5" s="14" t="s">
        <v>188</v>
      </c>
      <c r="E5" s="14" t="s">
        <v>154</v>
      </c>
      <c r="F5" s="14" t="s">
        <v>160</v>
      </c>
      <c r="G5" s="14" t="s">
        <v>45</v>
      </c>
      <c r="H5" s="14" t="s">
        <v>155</v>
      </c>
      <c r="I5" s="14" t="s">
        <v>156</v>
      </c>
      <c r="J5" s="14" t="s">
        <v>189</v>
      </c>
      <c r="K5" s="14" t="s">
        <v>158</v>
      </c>
      <c r="L5" s="14" t="s">
        <v>190</v>
      </c>
      <c r="M5" s="14" t="s">
        <v>191</v>
      </c>
    </row>
    <row r="6" customFormat="false" ht="15" hidden="false" customHeight="true" outlineLevel="0" collapsed="false">
      <c r="A6" s="13" t="s">
        <v>192</v>
      </c>
      <c r="B6" s="13" t="s">
        <v>193</v>
      </c>
      <c r="C6" s="13" t="n">
        <v>20</v>
      </c>
      <c r="D6" s="13" t="n">
        <v>9</v>
      </c>
      <c r="E6" s="13" t="n">
        <v>26</v>
      </c>
      <c r="F6" s="13" t="n">
        <v>100</v>
      </c>
      <c r="G6" s="13" t="n">
        <v>3.9</v>
      </c>
      <c r="H6" s="13" t="n">
        <v>80.5</v>
      </c>
      <c r="I6" s="13" t="n">
        <v>2.84</v>
      </c>
      <c r="J6" s="13" t="n">
        <v>1</v>
      </c>
      <c r="K6" s="13" t="n">
        <v>5.15</v>
      </c>
      <c r="L6" s="17" t="n">
        <f aca="false">H6*Parameters!$B$6</f>
        <v>124.775</v>
      </c>
      <c r="M6" s="17" t="n">
        <f aca="false">H6*0.3</f>
        <v>24.15</v>
      </c>
    </row>
    <row r="7" customFormat="false" ht="15" hidden="false" customHeight="true" outlineLevel="0" collapsed="false">
      <c r="A7" s="13" t="s">
        <v>192</v>
      </c>
      <c r="B7" s="13" t="s">
        <v>193</v>
      </c>
      <c r="C7" s="13" t="n">
        <v>20</v>
      </c>
      <c r="D7" s="13" t="n">
        <v>9</v>
      </c>
      <c r="E7" s="13" t="n">
        <v>40</v>
      </c>
      <c r="F7" s="13" t="n">
        <v>100</v>
      </c>
      <c r="G7" s="13" t="n">
        <v>3.93</v>
      </c>
      <c r="H7" s="13" t="n">
        <v>100.5</v>
      </c>
      <c r="I7" s="13" t="n">
        <v>3.48</v>
      </c>
      <c r="J7" s="13" t="n">
        <v>1</v>
      </c>
      <c r="K7" s="13" t="n">
        <v>6.87</v>
      </c>
      <c r="L7" s="17" t="n">
        <f aca="false">H7*Parameters!$B$6</f>
        <v>155.775</v>
      </c>
      <c r="M7" s="17" t="n">
        <f aca="false">H7*0.3</f>
        <v>30.15</v>
      </c>
    </row>
    <row r="8" customFormat="false" ht="15" hidden="false" customHeight="true" outlineLevel="0" collapsed="false">
      <c r="A8" s="13" t="s">
        <v>192</v>
      </c>
      <c r="B8" s="13" t="s">
        <v>193</v>
      </c>
      <c r="C8" s="13" t="n">
        <v>12</v>
      </c>
      <c r="D8" s="13" t="n">
        <v>6</v>
      </c>
      <c r="E8" s="13" t="n">
        <v>26</v>
      </c>
      <c r="F8" s="13" t="n">
        <v>100</v>
      </c>
      <c r="G8" s="13" t="n">
        <v>3</v>
      </c>
      <c r="H8" s="13" t="n">
        <v>55</v>
      </c>
      <c r="I8" s="13" t="n">
        <v>3.1</v>
      </c>
      <c r="J8" s="13" t="n">
        <v>1</v>
      </c>
      <c r="K8" s="13" t="n">
        <v>4.39</v>
      </c>
      <c r="L8" s="17" t="n">
        <f aca="false">H8*Parameters!$B$6</f>
        <v>85.25</v>
      </c>
      <c r="M8" s="17" t="n">
        <f aca="false">H8*0.3</f>
        <v>16.5</v>
      </c>
    </row>
    <row r="9" customFormat="false" ht="15" hidden="false" customHeight="true" outlineLevel="0" collapsed="false">
      <c r="A9" s="13" t="s">
        <v>192</v>
      </c>
      <c r="B9" s="13" t="s">
        <v>193</v>
      </c>
      <c r="C9" s="13" t="n">
        <v>12</v>
      </c>
      <c r="D9" s="13" t="n">
        <v>6</v>
      </c>
      <c r="E9" s="13" t="n">
        <v>40</v>
      </c>
      <c r="F9" s="13" t="n">
        <v>100</v>
      </c>
      <c r="G9" s="13" t="n">
        <v>3</v>
      </c>
      <c r="H9" s="13" t="n">
        <v>63.4</v>
      </c>
      <c r="I9" s="13" t="n">
        <v>3.43</v>
      </c>
      <c r="J9" s="13" t="n">
        <v>1</v>
      </c>
      <c r="K9" s="13" t="n">
        <v>4.14</v>
      </c>
      <c r="L9" s="17" t="n">
        <f aca="false">H9*Parameters!$B$6</f>
        <v>98.27</v>
      </c>
      <c r="M9" s="17" t="n">
        <f aca="false">H9*0.3</f>
        <v>19.02</v>
      </c>
    </row>
    <row r="10" customFormat="false" ht="15" hidden="false" customHeight="true" outlineLevel="0" collapsed="false">
      <c r="A10" s="13" t="s">
        <v>192</v>
      </c>
      <c r="B10" s="13" t="s">
        <v>193</v>
      </c>
      <c r="C10" s="13" t="n">
        <v>6</v>
      </c>
      <c r="D10" s="13" t="n">
        <v>4</v>
      </c>
      <c r="E10" s="13" t="n">
        <v>26</v>
      </c>
      <c r="F10" s="13" t="n">
        <v>100</v>
      </c>
      <c r="G10" s="13" t="n">
        <v>2.27</v>
      </c>
      <c r="H10" s="13" t="n">
        <v>25.3</v>
      </c>
      <c r="I10" s="13" t="n">
        <v>2.58</v>
      </c>
      <c r="J10" s="13" t="n">
        <v>1</v>
      </c>
      <c r="K10" s="13" t="n">
        <v>1.07</v>
      </c>
      <c r="L10" s="17" t="n">
        <f aca="false">H10*Parameters!$B$6</f>
        <v>39.215</v>
      </c>
      <c r="M10" s="17" t="n">
        <f aca="false">H10*0.3</f>
        <v>7.59</v>
      </c>
    </row>
    <row r="11" customFormat="false" ht="15" hidden="false" customHeight="true" outlineLevel="0" collapsed="false">
      <c r="A11" s="13" t="s">
        <v>192</v>
      </c>
      <c r="B11" s="13" t="s">
        <v>193</v>
      </c>
      <c r="C11" s="13" t="n">
        <v>6</v>
      </c>
      <c r="D11" s="13" t="n">
        <v>4</v>
      </c>
      <c r="E11" s="13" t="n">
        <v>40</v>
      </c>
      <c r="F11" s="13" t="n">
        <v>100</v>
      </c>
      <c r="G11" s="13" t="n">
        <v>2.36</v>
      </c>
      <c r="H11" s="13" t="n">
        <v>31.9</v>
      </c>
      <c r="I11" s="13" t="n">
        <v>3.17</v>
      </c>
      <c r="J11" s="13" t="n">
        <v>1</v>
      </c>
      <c r="K11" s="13" t="n">
        <v>2.22</v>
      </c>
      <c r="L11" s="17" t="n">
        <f aca="false">H11*Parameters!$B$6</f>
        <v>49.445</v>
      </c>
      <c r="M11" s="17" t="n">
        <f aca="false">H11*0.3</f>
        <v>9.57</v>
      </c>
    </row>
    <row r="12" customFormat="false" ht="15" hidden="false" customHeight="true" outlineLevel="0" collapsed="false">
      <c r="A12" s="13" t="s">
        <v>192</v>
      </c>
      <c r="B12" s="13" t="s">
        <v>194</v>
      </c>
      <c r="C12" s="13" t="n">
        <v>20</v>
      </c>
      <c r="D12" s="13" t="n">
        <v>9</v>
      </c>
      <c r="E12" s="13" t="n">
        <v>26</v>
      </c>
      <c r="F12" s="13" t="n">
        <v>88.4</v>
      </c>
      <c r="G12" s="13" t="n">
        <v>4.86</v>
      </c>
      <c r="H12" s="13" t="n">
        <v>98.5</v>
      </c>
      <c r="I12" s="13" t="n">
        <v>5.1</v>
      </c>
      <c r="J12" s="13" t="n">
        <v>2.5</v>
      </c>
      <c r="K12" s="13" t="n">
        <v>10.56</v>
      </c>
      <c r="L12" s="17" t="n">
        <f aca="false">H12*Parameters!$B$6</f>
        <v>152.675</v>
      </c>
      <c r="M12" s="17" t="n">
        <f aca="false">H12*0.3</f>
        <v>29.55</v>
      </c>
    </row>
    <row r="13" customFormat="false" ht="15" hidden="false" customHeight="true" outlineLevel="0" collapsed="false">
      <c r="A13" s="13" t="s">
        <v>192</v>
      </c>
      <c r="B13" s="13" t="s">
        <v>194</v>
      </c>
      <c r="C13" s="13" t="n">
        <v>20</v>
      </c>
      <c r="D13" s="13" t="n">
        <v>9</v>
      </c>
      <c r="E13" s="13" t="n">
        <v>40</v>
      </c>
      <c r="F13" s="13" t="n">
        <v>98.4</v>
      </c>
      <c r="G13" s="13" t="n">
        <v>3.26</v>
      </c>
      <c r="H13" s="13" t="n">
        <v>111.8</v>
      </c>
      <c r="I13" s="13" t="n">
        <v>5.24</v>
      </c>
      <c r="J13" s="13" t="n">
        <v>2.48</v>
      </c>
      <c r="K13" s="13" t="n">
        <v>12.26</v>
      </c>
      <c r="L13" s="17" t="n">
        <f aca="false">H13*Parameters!$B$6</f>
        <v>173.29</v>
      </c>
      <c r="M13" s="17" t="n">
        <f aca="false">H13*0.3</f>
        <v>33.54</v>
      </c>
    </row>
    <row r="14" customFormat="false" ht="15" hidden="false" customHeight="true" outlineLevel="0" collapsed="false">
      <c r="A14" s="13" t="s">
        <v>192</v>
      </c>
      <c r="B14" s="13" t="s">
        <v>194</v>
      </c>
      <c r="C14" s="13" t="n">
        <v>12</v>
      </c>
      <c r="D14" s="13" t="n">
        <v>6</v>
      </c>
      <c r="E14" s="13" t="n">
        <v>26</v>
      </c>
      <c r="F14" s="13" t="n">
        <v>98.4</v>
      </c>
      <c r="G14" s="13" t="n">
        <v>2.96</v>
      </c>
      <c r="H14" s="13" t="n">
        <v>62.4</v>
      </c>
      <c r="I14" s="13" t="n">
        <v>4.62</v>
      </c>
      <c r="J14" s="13" t="n">
        <v>2.16</v>
      </c>
      <c r="K14" s="13" t="n">
        <v>6.35</v>
      </c>
      <c r="L14" s="17" t="n">
        <f aca="false">H14*Parameters!$B$6</f>
        <v>96.72</v>
      </c>
      <c r="M14" s="17" t="n">
        <f aca="false">H14*0.3</f>
        <v>18.72</v>
      </c>
    </row>
    <row r="15" customFormat="false" ht="15" hidden="false" customHeight="true" outlineLevel="0" collapsed="false">
      <c r="A15" s="13" t="s">
        <v>192</v>
      </c>
      <c r="B15" s="13" t="s">
        <v>194</v>
      </c>
      <c r="C15" s="13" t="n">
        <v>12</v>
      </c>
      <c r="D15" s="13" t="n">
        <v>6</v>
      </c>
      <c r="E15" s="13" t="n">
        <v>40</v>
      </c>
      <c r="F15" s="13" t="n">
        <v>97.2</v>
      </c>
      <c r="G15" s="13" t="n">
        <v>3.39</v>
      </c>
      <c r="H15" s="13" t="n">
        <v>70.7</v>
      </c>
      <c r="I15" s="13" t="n">
        <v>4.74</v>
      </c>
      <c r="J15" s="13" t="n">
        <v>2.07</v>
      </c>
      <c r="K15" s="13" t="n">
        <v>7.51</v>
      </c>
      <c r="L15" s="17" t="n">
        <f aca="false">H15*Parameters!$B$6</f>
        <v>109.585</v>
      </c>
      <c r="M15" s="17" t="n">
        <f aca="false">H15*0.3</f>
        <v>21.21</v>
      </c>
    </row>
    <row r="16" customFormat="false" ht="15" hidden="false" customHeight="true" outlineLevel="0" collapsed="false">
      <c r="A16" s="13" t="s">
        <v>192</v>
      </c>
      <c r="B16" s="13" t="s">
        <v>194</v>
      </c>
      <c r="C16" s="13" t="n">
        <v>6</v>
      </c>
      <c r="D16" s="13" t="n">
        <v>4</v>
      </c>
      <c r="E16" s="13" t="n">
        <v>26</v>
      </c>
      <c r="F16" s="13" t="n">
        <v>100</v>
      </c>
      <c r="G16" s="13" t="n">
        <v>2.01</v>
      </c>
      <c r="H16" s="13" t="n">
        <v>31</v>
      </c>
      <c r="I16" s="13" t="n">
        <v>4.24</v>
      </c>
      <c r="J16" s="13" t="n">
        <v>1.9</v>
      </c>
      <c r="K16" s="13" t="n">
        <v>2.98</v>
      </c>
      <c r="L16" s="17" t="n">
        <f aca="false">H16*Parameters!$B$6</f>
        <v>48.05</v>
      </c>
      <c r="M16" s="17" t="n">
        <f aca="false">H16*0.3</f>
        <v>9.3</v>
      </c>
    </row>
    <row r="17" customFormat="false" ht="15" hidden="false" customHeight="true" outlineLevel="0" collapsed="false">
      <c r="A17" s="13" t="s">
        <v>192</v>
      </c>
      <c r="B17" s="13" t="s">
        <v>194</v>
      </c>
      <c r="C17" s="13" t="n">
        <v>6</v>
      </c>
      <c r="D17" s="13" t="n">
        <v>4</v>
      </c>
      <c r="E17" s="13" t="n">
        <v>40</v>
      </c>
      <c r="F17" s="13" t="n">
        <v>100</v>
      </c>
      <c r="G17" s="13" t="n">
        <v>2.05</v>
      </c>
      <c r="H17" s="13" t="n">
        <v>34.7</v>
      </c>
      <c r="I17" s="13" t="n">
        <v>4.23</v>
      </c>
      <c r="J17" s="13" t="n">
        <v>1.77</v>
      </c>
      <c r="K17" s="13" t="n">
        <v>3.51</v>
      </c>
      <c r="L17" s="17" t="n">
        <f aca="false">H17*Parameters!$B$6</f>
        <v>53.785</v>
      </c>
      <c r="M17" s="17" t="n">
        <f aca="false">H17*0.3</f>
        <v>10.41</v>
      </c>
    </row>
    <row r="18" customFormat="false" ht="15" hidden="false" customHeight="true" outlineLevel="0" collapsed="false">
      <c r="A18" s="13" t="s">
        <v>192</v>
      </c>
      <c r="B18" s="13" t="s">
        <v>195</v>
      </c>
      <c r="C18" s="13" t="n">
        <v>20</v>
      </c>
      <c r="D18" s="13" t="n">
        <v>9</v>
      </c>
      <c r="E18" s="13" t="n">
        <v>26</v>
      </c>
      <c r="F18" s="13" t="n">
        <v>100</v>
      </c>
      <c r="G18" s="13" t="n">
        <v>3.02</v>
      </c>
      <c r="H18" s="13" t="n">
        <v>101.2</v>
      </c>
      <c r="I18" s="13" t="n">
        <v>5.53</v>
      </c>
      <c r="J18" s="13" t="n">
        <v>4.52</v>
      </c>
      <c r="K18" s="13" t="n">
        <v>11.4</v>
      </c>
      <c r="L18" s="17" t="n">
        <f aca="false">H18*Parameters!$B$6</f>
        <v>156.86</v>
      </c>
      <c r="M18" s="17" t="n">
        <f aca="false">H18*0.3</f>
        <v>30.36</v>
      </c>
    </row>
    <row r="19" customFormat="false" ht="15" hidden="false" customHeight="true" outlineLevel="0" collapsed="false">
      <c r="A19" s="13" t="s">
        <v>192</v>
      </c>
      <c r="B19" s="13" t="s">
        <v>195</v>
      </c>
      <c r="C19" s="13" t="n">
        <v>20</v>
      </c>
      <c r="D19" s="13" t="n">
        <v>9</v>
      </c>
      <c r="E19" s="13" t="n">
        <v>40</v>
      </c>
      <c r="F19" s="13" t="n">
        <v>100</v>
      </c>
      <c r="G19" s="13" t="n">
        <v>3.21</v>
      </c>
      <c r="H19" s="13" t="n">
        <v>115.8</v>
      </c>
      <c r="I19" s="13" t="n">
        <v>5.57</v>
      </c>
      <c r="J19" s="13" t="n">
        <v>4.68</v>
      </c>
      <c r="K19" s="13" t="n">
        <v>13.58</v>
      </c>
      <c r="L19" s="17" t="n">
        <f aca="false">H19*Parameters!$B$6</f>
        <v>179.49</v>
      </c>
      <c r="M19" s="17" t="n">
        <f aca="false">H19*0.3</f>
        <v>34.74</v>
      </c>
    </row>
    <row r="20" customFormat="false" ht="15" hidden="false" customHeight="true" outlineLevel="0" collapsed="false">
      <c r="A20" s="13" t="s">
        <v>192</v>
      </c>
      <c r="B20" s="13" t="s">
        <v>195</v>
      </c>
      <c r="C20" s="13" t="n">
        <v>12</v>
      </c>
      <c r="D20" s="13" t="n">
        <v>6</v>
      </c>
      <c r="E20" s="13" t="n">
        <v>26</v>
      </c>
      <c r="F20" s="13" t="n">
        <v>99.6</v>
      </c>
      <c r="G20" s="13" t="n">
        <v>2.72</v>
      </c>
      <c r="H20" s="13" t="n">
        <v>61.8</v>
      </c>
      <c r="I20" s="13" t="n">
        <v>5.17</v>
      </c>
      <c r="J20" s="13" t="n">
        <v>3.48</v>
      </c>
      <c r="K20" s="13" t="n">
        <v>6.78</v>
      </c>
      <c r="L20" s="17" t="n">
        <f aca="false">H20*Parameters!$B$6</f>
        <v>95.79</v>
      </c>
      <c r="M20" s="17" t="n">
        <f aca="false">H20*0.3</f>
        <v>18.54</v>
      </c>
    </row>
    <row r="21" customFormat="false" ht="15" hidden="false" customHeight="true" outlineLevel="0" collapsed="false">
      <c r="A21" s="13" t="s">
        <v>192</v>
      </c>
      <c r="B21" s="13" t="s">
        <v>195</v>
      </c>
      <c r="C21" s="13" t="n">
        <v>12</v>
      </c>
      <c r="D21" s="13" t="n">
        <v>6</v>
      </c>
      <c r="E21" s="13" t="n">
        <v>40</v>
      </c>
      <c r="F21" s="13" t="n">
        <v>100</v>
      </c>
      <c r="G21" s="13" t="n">
        <v>2.92</v>
      </c>
      <c r="H21" s="13" t="n">
        <v>70.1</v>
      </c>
      <c r="I21" s="13" t="n">
        <v>5.11</v>
      </c>
      <c r="J21" s="13" t="n">
        <v>3.53</v>
      </c>
      <c r="K21" s="13" t="n">
        <v>8</v>
      </c>
      <c r="L21" s="17" t="n">
        <f aca="false">H21*Parameters!$B$6</f>
        <v>108.655</v>
      </c>
      <c r="M21" s="17" t="n">
        <f aca="false">H21*0.3</f>
        <v>21.03</v>
      </c>
    </row>
    <row r="22" customFormat="false" ht="15" hidden="false" customHeight="true" outlineLevel="0" collapsed="false">
      <c r="A22" s="13" t="s">
        <v>192</v>
      </c>
      <c r="B22" s="13" t="s">
        <v>195</v>
      </c>
      <c r="C22" s="13" t="n">
        <v>6</v>
      </c>
      <c r="D22" s="13" t="n">
        <v>4</v>
      </c>
      <c r="E22" s="13" t="n">
        <v>26</v>
      </c>
      <c r="F22" s="13" t="n">
        <v>100</v>
      </c>
      <c r="G22" s="13" t="n">
        <v>2.01</v>
      </c>
      <c r="H22" s="13" t="n">
        <v>31.1</v>
      </c>
      <c r="I22" s="13" t="n">
        <v>4.63</v>
      </c>
      <c r="J22" s="13" t="n">
        <v>2.47</v>
      </c>
      <c r="K22" s="13" t="n">
        <v>3.16</v>
      </c>
      <c r="L22" s="17" t="n">
        <f aca="false">H22*Parameters!$B$6</f>
        <v>48.205</v>
      </c>
      <c r="M22" s="17" t="n">
        <f aca="false">H22*0.3</f>
        <v>9.33</v>
      </c>
    </row>
    <row r="23" customFormat="false" ht="15" hidden="false" customHeight="true" outlineLevel="0" collapsed="false">
      <c r="A23" s="13" t="s">
        <v>192</v>
      </c>
      <c r="B23" s="13" t="s">
        <v>195</v>
      </c>
      <c r="C23" s="13" t="n">
        <v>6</v>
      </c>
      <c r="D23" s="13" t="n">
        <v>4</v>
      </c>
      <c r="E23" s="13" t="n">
        <v>40</v>
      </c>
      <c r="F23" s="13" t="n">
        <v>100</v>
      </c>
      <c r="G23" s="13" t="n">
        <v>2.05</v>
      </c>
      <c r="H23" s="13" t="n">
        <v>34.1</v>
      </c>
      <c r="I23" s="13" t="n">
        <v>4.61</v>
      </c>
      <c r="J23" s="13" t="n">
        <v>2.55</v>
      </c>
      <c r="K23" s="13" t="n">
        <v>3.56</v>
      </c>
      <c r="L23" s="17" t="n">
        <f aca="false">H23*Parameters!$B$6</f>
        <v>52.855</v>
      </c>
      <c r="M23" s="17" t="n">
        <f aca="false">H23*0.3</f>
        <v>10.23</v>
      </c>
    </row>
    <row r="24" customFormat="false" ht="15" hidden="false" customHeight="true" outlineLevel="0" collapsed="false">
      <c r="A24" s="13" t="s">
        <v>192</v>
      </c>
      <c r="B24" s="13" t="s">
        <v>196</v>
      </c>
      <c r="C24" s="13" t="n">
        <v>20</v>
      </c>
      <c r="D24" s="13" t="n">
        <v>9</v>
      </c>
      <c r="E24" s="13" t="n">
        <v>26</v>
      </c>
      <c r="F24" s="13" t="n">
        <v>100</v>
      </c>
      <c r="G24" s="13" t="n">
        <v>3.01</v>
      </c>
      <c r="H24" s="13" t="n">
        <v>101.5</v>
      </c>
      <c r="I24" s="13" t="n">
        <v>5.53</v>
      </c>
      <c r="J24" s="13" t="n">
        <v>4.47</v>
      </c>
      <c r="K24" s="13" t="n">
        <v>11.47</v>
      </c>
      <c r="L24" s="17" t="n">
        <f aca="false">H24*Parameters!$B$6</f>
        <v>157.325</v>
      </c>
      <c r="M24" s="17" t="n">
        <f aca="false">H24*0.3</f>
        <v>30.45</v>
      </c>
    </row>
    <row r="25" customFormat="false" ht="15" hidden="false" customHeight="true" outlineLevel="0" collapsed="false">
      <c r="A25" s="13" t="s">
        <v>192</v>
      </c>
      <c r="B25" s="13" t="s">
        <v>196</v>
      </c>
      <c r="C25" s="13" t="n">
        <v>20</v>
      </c>
      <c r="D25" s="13" t="n">
        <v>9</v>
      </c>
      <c r="E25" s="13" t="n">
        <v>40</v>
      </c>
      <c r="F25" s="13" t="n">
        <v>100</v>
      </c>
      <c r="G25" s="13" t="n">
        <v>3.22</v>
      </c>
      <c r="H25" s="13" t="n">
        <v>115.9</v>
      </c>
      <c r="I25" s="13" t="n">
        <v>5.56</v>
      </c>
      <c r="J25" s="13" t="n">
        <v>4.6</v>
      </c>
      <c r="K25" s="13" t="n">
        <v>13.5</v>
      </c>
      <c r="L25" s="17" t="n">
        <f aca="false">H25*Parameters!$B$6</f>
        <v>179.645</v>
      </c>
      <c r="M25" s="17" t="n">
        <f aca="false">H25*0.3</f>
        <v>34.77</v>
      </c>
    </row>
    <row r="26" customFormat="false" ht="15" hidden="false" customHeight="true" outlineLevel="0" collapsed="false">
      <c r="A26" s="13" t="s">
        <v>192</v>
      </c>
      <c r="B26" s="13" t="s">
        <v>196</v>
      </c>
      <c r="C26" s="13" t="n">
        <v>12</v>
      </c>
      <c r="D26" s="13" t="n">
        <v>6</v>
      </c>
      <c r="E26" s="13" t="n">
        <v>26</v>
      </c>
      <c r="F26" s="13" t="n">
        <v>100</v>
      </c>
      <c r="G26" s="13" t="n">
        <v>2.69</v>
      </c>
      <c r="H26" s="13" t="n">
        <v>61.5</v>
      </c>
      <c r="I26" s="13" t="n">
        <v>5.12</v>
      </c>
      <c r="J26" s="13" t="n">
        <v>3.38</v>
      </c>
      <c r="K26" s="13" t="n">
        <v>6.76</v>
      </c>
      <c r="L26" s="17" t="n">
        <f aca="false">H26*Parameters!$B$6</f>
        <v>95.325</v>
      </c>
      <c r="M26" s="17" t="n">
        <f aca="false">H26*0.3</f>
        <v>18.45</v>
      </c>
    </row>
    <row r="27" customFormat="false" ht="15" hidden="false" customHeight="true" outlineLevel="0" collapsed="false">
      <c r="A27" s="13" t="s">
        <v>192</v>
      </c>
      <c r="B27" s="13" t="s">
        <v>196</v>
      </c>
      <c r="C27" s="13" t="n">
        <v>12</v>
      </c>
      <c r="D27" s="13" t="n">
        <v>6</v>
      </c>
      <c r="E27" s="13" t="n">
        <v>40</v>
      </c>
      <c r="F27" s="13" t="n">
        <v>100</v>
      </c>
      <c r="G27" s="13" t="n">
        <v>2.95</v>
      </c>
      <c r="H27" s="13" t="n">
        <v>69.6</v>
      </c>
      <c r="I27" s="13" t="n">
        <v>5.1</v>
      </c>
      <c r="J27" s="13" t="n">
        <v>3.48</v>
      </c>
      <c r="K27" s="13" t="n">
        <v>7.89</v>
      </c>
      <c r="L27" s="17" t="n">
        <f aca="false">H27*Parameters!$B$6</f>
        <v>107.88</v>
      </c>
      <c r="M27" s="17" t="n">
        <f aca="false">H27*0.3</f>
        <v>20.88</v>
      </c>
    </row>
    <row r="28" customFormat="false" ht="15" hidden="false" customHeight="true" outlineLevel="0" collapsed="false">
      <c r="A28" s="13" t="s">
        <v>192</v>
      </c>
      <c r="B28" s="13" t="s">
        <v>196</v>
      </c>
      <c r="C28" s="13" t="n">
        <v>6</v>
      </c>
      <c r="D28" s="13" t="n">
        <v>4</v>
      </c>
      <c r="E28" s="13" t="n">
        <v>26</v>
      </c>
      <c r="F28" s="13" t="n">
        <v>99.6</v>
      </c>
      <c r="G28" s="13" t="n">
        <v>2.08</v>
      </c>
      <c r="H28" s="13" t="n">
        <v>30.8</v>
      </c>
      <c r="I28" s="13" t="n">
        <v>4.63</v>
      </c>
      <c r="J28" s="13" t="n">
        <v>2.35</v>
      </c>
      <c r="K28" s="13" t="n">
        <v>3.15</v>
      </c>
      <c r="L28" s="17" t="n">
        <f aca="false">H28*Parameters!$B$6</f>
        <v>47.74</v>
      </c>
      <c r="M28" s="17" t="n">
        <f aca="false">H28*0.3</f>
        <v>9.24</v>
      </c>
    </row>
    <row r="29" customFormat="false" ht="15" hidden="false" customHeight="true" outlineLevel="0" collapsed="false">
      <c r="A29" s="13" t="s">
        <v>192</v>
      </c>
      <c r="B29" s="13" t="s">
        <v>196</v>
      </c>
      <c r="C29" s="13" t="n">
        <v>6</v>
      </c>
      <c r="D29" s="13" t="n">
        <v>4</v>
      </c>
      <c r="E29" s="13" t="n">
        <v>40</v>
      </c>
      <c r="F29" s="13" t="n">
        <v>100</v>
      </c>
      <c r="G29" s="13" t="n">
        <v>2.06</v>
      </c>
      <c r="H29" s="13" t="n">
        <v>34.1</v>
      </c>
      <c r="I29" s="13" t="n">
        <v>4.48</v>
      </c>
      <c r="J29" s="13" t="n">
        <v>2.35</v>
      </c>
      <c r="K29" s="13" t="n">
        <v>3.5</v>
      </c>
      <c r="L29" s="17" t="n">
        <f aca="false">H29*Parameters!$B$6</f>
        <v>52.855</v>
      </c>
      <c r="M29" s="17" t="n">
        <f aca="false">H29*0.3</f>
        <v>10.23</v>
      </c>
    </row>
    <row r="30" customFormat="false" ht="15" hidden="false" customHeight="true" outlineLevel="0" collapsed="false">
      <c r="A30" s="13" t="s">
        <v>197</v>
      </c>
      <c r="B30" s="13" t="s">
        <v>193</v>
      </c>
      <c r="C30" s="13" t="n">
        <v>20</v>
      </c>
      <c r="D30" s="13" t="n">
        <v>9</v>
      </c>
      <c r="E30" s="13" t="n">
        <v>26</v>
      </c>
      <c r="F30" s="13" t="n">
        <v>100</v>
      </c>
      <c r="G30" s="13" t="n">
        <v>7.59</v>
      </c>
      <c r="H30" s="13" t="n">
        <v>0</v>
      </c>
      <c r="I30" s="13" t="n">
        <v>0</v>
      </c>
      <c r="J30" s="13" t="n">
        <v>0</v>
      </c>
      <c r="K30" s="13" t="n">
        <v>0</v>
      </c>
      <c r="L30" s="17" t="n">
        <f aca="false">H30*Parameters!$B$6</f>
        <v>0</v>
      </c>
      <c r="M30" s="17" t="n">
        <f aca="false">H30*0.3</f>
        <v>0</v>
      </c>
    </row>
    <row r="31" customFormat="false" ht="15" hidden="false" customHeight="true" outlineLevel="0" collapsed="false">
      <c r="A31" s="13" t="s">
        <v>197</v>
      </c>
      <c r="B31" s="13" t="s">
        <v>193</v>
      </c>
      <c r="C31" s="13" t="n">
        <v>20</v>
      </c>
      <c r="D31" s="13" t="n">
        <v>9</v>
      </c>
      <c r="E31" s="13" t="n">
        <v>40</v>
      </c>
      <c r="F31" s="13" t="n">
        <v>100</v>
      </c>
      <c r="G31" s="13" t="n">
        <v>7.82</v>
      </c>
      <c r="H31" s="13" t="n">
        <v>0</v>
      </c>
      <c r="I31" s="13" t="n">
        <v>0</v>
      </c>
      <c r="J31" s="13" t="n">
        <v>0</v>
      </c>
      <c r="K31" s="13" t="n">
        <v>0</v>
      </c>
      <c r="L31" s="17" t="n">
        <f aca="false">H31*Parameters!$B$6</f>
        <v>0</v>
      </c>
      <c r="M31" s="17" t="n">
        <f aca="false">H31*0.3</f>
        <v>0</v>
      </c>
    </row>
    <row r="32" customFormat="false" ht="15" hidden="false" customHeight="true" outlineLevel="0" collapsed="false">
      <c r="A32" s="13" t="s">
        <v>197</v>
      </c>
      <c r="B32" s="13" t="s">
        <v>193</v>
      </c>
      <c r="C32" s="13" t="n">
        <v>12</v>
      </c>
      <c r="D32" s="13" t="n">
        <v>6</v>
      </c>
      <c r="E32" s="13" t="n">
        <v>26</v>
      </c>
      <c r="F32" s="13" t="n">
        <v>100</v>
      </c>
      <c r="G32" s="13" t="n">
        <v>7.12</v>
      </c>
      <c r="H32" s="13" t="n">
        <v>0</v>
      </c>
      <c r="I32" s="13" t="n">
        <v>0</v>
      </c>
      <c r="J32" s="13" t="n">
        <v>0</v>
      </c>
      <c r="K32" s="13" t="n">
        <v>0</v>
      </c>
      <c r="L32" s="17" t="n">
        <f aca="false">H32*Parameters!$B$6</f>
        <v>0</v>
      </c>
      <c r="M32" s="17" t="n">
        <f aca="false">H32*0.3</f>
        <v>0</v>
      </c>
    </row>
    <row r="33" customFormat="false" ht="15" hidden="false" customHeight="true" outlineLevel="0" collapsed="false">
      <c r="A33" s="13" t="s">
        <v>197</v>
      </c>
      <c r="B33" s="13" t="s">
        <v>193</v>
      </c>
      <c r="C33" s="13" t="n">
        <v>12</v>
      </c>
      <c r="D33" s="13" t="n">
        <v>6</v>
      </c>
      <c r="E33" s="13" t="n">
        <v>40</v>
      </c>
      <c r="F33" s="13" t="n">
        <v>100</v>
      </c>
      <c r="G33" s="13" t="n">
        <v>7.64</v>
      </c>
      <c r="H33" s="13" t="n">
        <v>0</v>
      </c>
      <c r="I33" s="13" t="n">
        <v>0</v>
      </c>
      <c r="J33" s="13" t="n">
        <v>0</v>
      </c>
      <c r="K33" s="13" t="n">
        <v>0</v>
      </c>
      <c r="L33" s="17" t="n">
        <f aca="false">H33*Parameters!$B$6</f>
        <v>0</v>
      </c>
      <c r="M33" s="17" t="n">
        <f aca="false">H33*0.3</f>
        <v>0</v>
      </c>
    </row>
    <row r="34" customFormat="false" ht="15" hidden="false" customHeight="true" outlineLevel="0" collapsed="false">
      <c r="A34" s="13" t="s">
        <v>197</v>
      </c>
      <c r="B34" s="13" t="s">
        <v>193</v>
      </c>
      <c r="C34" s="13" t="n">
        <v>6</v>
      </c>
      <c r="D34" s="13" t="n">
        <v>4</v>
      </c>
      <c r="E34" s="13" t="n">
        <v>26</v>
      </c>
      <c r="F34" s="13" t="n">
        <v>100</v>
      </c>
      <c r="G34" s="13" t="n">
        <v>6.29</v>
      </c>
      <c r="H34" s="13" t="n">
        <v>0</v>
      </c>
      <c r="I34" s="13" t="n">
        <v>0</v>
      </c>
      <c r="J34" s="13" t="n">
        <v>0</v>
      </c>
      <c r="K34" s="13" t="n">
        <v>0</v>
      </c>
      <c r="L34" s="17" t="n">
        <f aca="false">H34*Parameters!$B$6</f>
        <v>0</v>
      </c>
      <c r="M34" s="17" t="n">
        <f aca="false">H34*0.3</f>
        <v>0</v>
      </c>
    </row>
    <row r="35" customFormat="false" ht="15" hidden="false" customHeight="true" outlineLevel="0" collapsed="false">
      <c r="A35" s="13" t="s">
        <v>197</v>
      </c>
      <c r="B35" s="13" t="s">
        <v>193</v>
      </c>
      <c r="C35" s="13" t="n">
        <v>6</v>
      </c>
      <c r="D35" s="13" t="n">
        <v>4</v>
      </c>
      <c r="E35" s="13" t="n">
        <v>40</v>
      </c>
      <c r="F35" s="13" t="n">
        <v>100</v>
      </c>
      <c r="G35" s="13" t="n">
        <v>6.12</v>
      </c>
      <c r="H35" s="13" t="n">
        <v>0</v>
      </c>
      <c r="I35" s="13" t="n">
        <v>0</v>
      </c>
      <c r="J35" s="13" t="n">
        <v>0</v>
      </c>
      <c r="K35" s="13" t="n">
        <v>0</v>
      </c>
      <c r="L35" s="17" t="n">
        <f aca="false">H35*Parameters!$B$6</f>
        <v>0</v>
      </c>
      <c r="M35" s="17" t="n">
        <f aca="false">H35*0.3</f>
        <v>0</v>
      </c>
    </row>
    <row r="36" customFormat="false" ht="15" hidden="false" customHeight="true" outlineLevel="0" collapsed="false">
      <c r="A36" s="13" t="s">
        <v>197</v>
      </c>
      <c r="B36" s="13" t="s">
        <v>194</v>
      </c>
      <c r="C36" s="13" t="n">
        <v>20</v>
      </c>
      <c r="D36" s="13" t="n">
        <v>9</v>
      </c>
      <c r="E36" s="13" t="n">
        <v>26</v>
      </c>
      <c r="F36" s="13" t="n">
        <v>100</v>
      </c>
      <c r="G36" s="13" t="n">
        <v>7.59</v>
      </c>
      <c r="H36" s="13" t="n">
        <v>0</v>
      </c>
      <c r="I36" s="13" t="n">
        <v>0</v>
      </c>
      <c r="J36" s="13" t="n">
        <v>0</v>
      </c>
      <c r="K36" s="13" t="n">
        <v>0</v>
      </c>
      <c r="L36" s="17" t="n">
        <f aca="false">H36*Parameters!$B$6</f>
        <v>0</v>
      </c>
      <c r="M36" s="17" t="n">
        <f aca="false">H36*0.3</f>
        <v>0</v>
      </c>
    </row>
    <row r="37" customFormat="false" ht="15" hidden="false" customHeight="true" outlineLevel="0" collapsed="false">
      <c r="A37" s="13" t="s">
        <v>197</v>
      </c>
      <c r="B37" s="13" t="s">
        <v>194</v>
      </c>
      <c r="C37" s="13" t="n">
        <v>20</v>
      </c>
      <c r="D37" s="13" t="n">
        <v>9</v>
      </c>
      <c r="E37" s="13" t="n">
        <v>40</v>
      </c>
      <c r="F37" s="13" t="n">
        <v>100</v>
      </c>
      <c r="G37" s="13" t="n">
        <v>7.82</v>
      </c>
      <c r="H37" s="13" t="n">
        <v>0</v>
      </c>
      <c r="I37" s="13" t="n">
        <v>0</v>
      </c>
      <c r="J37" s="13" t="n">
        <v>0</v>
      </c>
      <c r="K37" s="13" t="n">
        <v>0</v>
      </c>
      <c r="L37" s="17" t="n">
        <f aca="false">H37*Parameters!$B$6</f>
        <v>0</v>
      </c>
      <c r="M37" s="17" t="n">
        <f aca="false">H37*0.3</f>
        <v>0</v>
      </c>
    </row>
    <row r="38" customFormat="false" ht="15" hidden="false" customHeight="true" outlineLevel="0" collapsed="false">
      <c r="A38" s="13" t="s">
        <v>197</v>
      </c>
      <c r="B38" s="13" t="s">
        <v>194</v>
      </c>
      <c r="C38" s="13" t="n">
        <v>12</v>
      </c>
      <c r="D38" s="13" t="n">
        <v>6</v>
      </c>
      <c r="E38" s="13" t="n">
        <v>26</v>
      </c>
      <c r="F38" s="13" t="n">
        <v>100</v>
      </c>
      <c r="G38" s="13" t="n">
        <v>7.12</v>
      </c>
      <c r="H38" s="13" t="n">
        <v>0</v>
      </c>
      <c r="I38" s="13" t="n">
        <v>0</v>
      </c>
      <c r="J38" s="13" t="n">
        <v>0</v>
      </c>
      <c r="K38" s="13" t="n">
        <v>0</v>
      </c>
      <c r="L38" s="17" t="n">
        <f aca="false">H38*Parameters!$B$6</f>
        <v>0</v>
      </c>
      <c r="M38" s="17" t="n">
        <f aca="false">H38*0.3</f>
        <v>0</v>
      </c>
    </row>
    <row r="39" customFormat="false" ht="15" hidden="false" customHeight="true" outlineLevel="0" collapsed="false">
      <c r="A39" s="13" t="s">
        <v>197</v>
      </c>
      <c r="B39" s="13" t="s">
        <v>194</v>
      </c>
      <c r="C39" s="13" t="n">
        <v>12</v>
      </c>
      <c r="D39" s="13" t="n">
        <v>6</v>
      </c>
      <c r="E39" s="13" t="n">
        <v>40</v>
      </c>
      <c r="F39" s="13" t="n">
        <v>100</v>
      </c>
      <c r="G39" s="13" t="n">
        <v>7.64</v>
      </c>
      <c r="H39" s="13" t="n">
        <v>0</v>
      </c>
      <c r="I39" s="13" t="n">
        <v>0</v>
      </c>
      <c r="J39" s="13" t="n">
        <v>0</v>
      </c>
      <c r="K39" s="13" t="n">
        <v>0</v>
      </c>
      <c r="L39" s="17" t="n">
        <f aca="false">H39*Parameters!$B$6</f>
        <v>0</v>
      </c>
      <c r="M39" s="17" t="n">
        <f aca="false">H39*0.3</f>
        <v>0</v>
      </c>
    </row>
    <row r="40" customFormat="false" ht="15" hidden="false" customHeight="true" outlineLevel="0" collapsed="false">
      <c r="A40" s="13" t="s">
        <v>197</v>
      </c>
      <c r="B40" s="13" t="s">
        <v>194</v>
      </c>
      <c r="C40" s="13" t="n">
        <v>6</v>
      </c>
      <c r="D40" s="13" t="n">
        <v>4</v>
      </c>
      <c r="E40" s="13" t="n">
        <v>26</v>
      </c>
      <c r="F40" s="13" t="n">
        <v>100</v>
      </c>
      <c r="G40" s="13" t="n">
        <v>6.29</v>
      </c>
      <c r="H40" s="13" t="n">
        <v>0</v>
      </c>
      <c r="I40" s="13" t="n">
        <v>0</v>
      </c>
      <c r="J40" s="13" t="n">
        <v>0</v>
      </c>
      <c r="K40" s="13" t="n">
        <v>0</v>
      </c>
      <c r="L40" s="17" t="n">
        <f aca="false">H40*Parameters!$B$6</f>
        <v>0</v>
      </c>
      <c r="M40" s="17" t="n">
        <f aca="false">H40*0.3</f>
        <v>0</v>
      </c>
    </row>
    <row r="41" customFormat="false" ht="15" hidden="false" customHeight="true" outlineLevel="0" collapsed="false">
      <c r="A41" s="13" t="s">
        <v>197</v>
      </c>
      <c r="B41" s="13" t="s">
        <v>194</v>
      </c>
      <c r="C41" s="13" t="n">
        <v>6</v>
      </c>
      <c r="D41" s="13" t="n">
        <v>4</v>
      </c>
      <c r="E41" s="13" t="n">
        <v>40</v>
      </c>
      <c r="F41" s="13" t="n">
        <v>100</v>
      </c>
      <c r="G41" s="13" t="n">
        <v>6.12</v>
      </c>
      <c r="H41" s="13" t="n">
        <v>0</v>
      </c>
      <c r="I41" s="13" t="n">
        <v>0</v>
      </c>
      <c r="J41" s="13" t="n">
        <v>0</v>
      </c>
      <c r="K41" s="13" t="n">
        <v>0</v>
      </c>
      <c r="L41" s="17" t="n">
        <f aca="false">H41*Parameters!$B$6</f>
        <v>0</v>
      </c>
      <c r="M41" s="17" t="n">
        <f aca="false">H41*0.3</f>
        <v>0</v>
      </c>
    </row>
    <row r="42" customFormat="false" ht="15" hidden="false" customHeight="true" outlineLevel="0" collapsed="false">
      <c r="A42" s="13" t="s">
        <v>197</v>
      </c>
      <c r="B42" s="13" t="s">
        <v>195</v>
      </c>
      <c r="C42" s="13" t="n">
        <v>20</v>
      </c>
      <c r="D42" s="13" t="n">
        <v>9</v>
      </c>
      <c r="E42" s="13" t="n">
        <v>26</v>
      </c>
      <c r="F42" s="13" t="n">
        <v>100</v>
      </c>
      <c r="G42" s="13" t="n">
        <v>7.59</v>
      </c>
      <c r="H42" s="13" t="n">
        <v>0</v>
      </c>
      <c r="I42" s="13" t="n">
        <v>0</v>
      </c>
      <c r="J42" s="13" t="n">
        <v>0</v>
      </c>
      <c r="K42" s="13" t="n">
        <v>0</v>
      </c>
      <c r="L42" s="17" t="n">
        <f aca="false">H42*Parameters!$B$6</f>
        <v>0</v>
      </c>
      <c r="M42" s="17" t="n">
        <f aca="false">H42*0.3</f>
        <v>0</v>
      </c>
    </row>
    <row r="43" customFormat="false" ht="15" hidden="false" customHeight="true" outlineLevel="0" collapsed="false">
      <c r="A43" s="13" t="s">
        <v>197</v>
      </c>
      <c r="B43" s="13" t="s">
        <v>195</v>
      </c>
      <c r="C43" s="13" t="n">
        <v>20</v>
      </c>
      <c r="D43" s="13" t="n">
        <v>9</v>
      </c>
      <c r="E43" s="13" t="n">
        <v>40</v>
      </c>
      <c r="F43" s="13" t="n">
        <v>100</v>
      </c>
      <c r="G43" s="13" t="n">
        <v>7.82</v>
      </c>
      <c r="H43" s="13" t="n">
        <v>0</v>
      </c>
      <c r="I43" s="13" t="n">
        <v>0</v>
      </c>
      <c r="J43" s="13" t="n">
        <v>0</v>
      </c>
      <c r="K43" s="13" t="n">
        <v>0</v>
      </c>
      <c r="L43" s="17" t="n">
        <f aca="false">H43*Parameters!$B$6</f>
        <v>0</v>
      </c>
      <c r="M43" s="17" t="n">
        <f aca="false">H43*0.3</f>
        <v>0</v>
      </c>
    </row>
    <row r="44" customFormat="false" ht="15" hidden="false" customHeight="true" outlineLevel="0" collapsed="false">
      <c r="A44" s="13" t="s">
        <v>197</v>
      </c>
      <c r="B44" s="13" t="s">
        <v>195</v>
      </c>
      <c r="C44" s="13" t="n">
        <v>12</v>
      </c>
      <c r="D44" s="13" t="n">
        <v>6</v>
      </c>
      <c r="E44" s="13" t="n">
        <v>26</v>
      </c>
      <c r="F44" s="13" t="n">
        <v>100</v>
      </c>
      <c r="G44" s="13" t="n">
        <v>7.12</v>
      </c>
      <c r="H44" s="13" t="n">
        <v>0</v>
      </c>
      <c r="I44" s="13" t="n">
        <v>0</v>
      </c>
      <c r="J44" s="13" t="n">
        <v>0</v>
      </c>
      <c r="K44" s="13" t="n">
        <v>0</v>
      </c>
      <c r="L44" s="17" t="n">
        <f aca="false">H44*Parameters!$B$6</f>
        <v>0</v>
      </c>
      <c r="M44" s="17" t="n">
        <f aca="false">H44*0.3</f>
        <v>0</v>
      </c>
    </row>
    <row r="45" customFormat="false" ht="15" hidden="false" customHeight="true" outlineLevel="0" collapsed="false">
      <c r="A45" s="13" t="s">
        <v>197</v>
      </c>
      <c r="B45" s="13" t="s">
        <v>195</v>
      </c>
      <c r="C45" s="13" t="n">
        <v>12</v>
      </c>
      <c r="D45" s="13" t="n">
        <v>6</v>
      </c>
      <c r="E45" s="13" t="n">
        <v>40</v>
      </c>
      <c r="F45" s="13" t="n">
        <v>100</v>
      </c>
      <c r="G45" s="13" t="n">
        <v>7.64</v>
      </c>
      <c r="H45" s="13" t="n">
        <v>0</v>
      </c>
      <c r="I45" s="13" t="n">
        <v>0</v>
      </c>
      <c r="J45" s="13" t="n">
        <v>0</v>
      </c>
      <c r="K45" s="13" t="n">
        <v>0</v>
      </c>
      <c r="L45" s="17" t="n">
        <f aca="false">H45*Parameters!$B$6</f>
        <v>0</v>
      </c>
      <c r="M45" s="17" t="n">
        <f aca="false">H45*0.3</f>
        <v>0</v>
      </c>
    </row>
    <row r="46" customFormat="false" ht="15" hidden="false" customHeight="true" outlineLevel="0" collapsed="false">
      <c r="A46" s="13" t="s">
        <v>197</v>
      </c>
      <c r="B46" s="13" t="s">
        <v>195</v>
      </c>
      <c r="C46" s="13" t="n">
        <v>6</v>
      </c>
      <c r="D46" s="13" t="n">
        <v>4</v>
      </c>
      <c r="E46" s="13" t="n">
        <v>26</v>
      </c>
      <c r="F46" s="13" t="n">
        <v>100</v>
      </c>
      <c r="G46" s="13" t="n">
        <v>6.29</v>
      </c>
      <c r="H46" s="13" t="n">
        <v>0</v>
      </c>
      <c r="I46" s="13" t="n">
        <v>0</v>
      </c>
      <c r="J46" s="13" t="n">
        <v>0</v>
      </c>
      <c r="K46" s="13" t="n">
        <v>0</v>
      </c>
      <c r="L46" s="17" t="n">
        <f aca="false">H46*Parameters!$B$6</f>
        <v>0</v>
      </c>
      <c r="M46" s="17" t="n">
        <f aca="false">H46*0.3</f>
        <v>0</v>
      </c>
    </row>
    <row r="47" customFormat="false" ht="15" hidden="false" customHeight="true" outlineLevel="0" collapsed="false">
      <c r="A47" s="13" t="s">
        <v>197</v>
      </c>
      <c r="B47" s="13" t="s">
        <v>195</v>
      </c>
      <c r="C47" s="13" t="n">
        <v>6</v>
      </c>
      <c r="D47" s="13" t="n">
        <v>4</v>
      </c>
      <c r="E47" s="13" t="n">
        <v>40</v>
      </c>
      <c r="F47" s="13" t="n">
        <v>100</v>
      </c>
      <c r="G47" s="13" t="n">
        <v>6.12</v>
      </c>
      <c r="H47" s="13" t="n">
        <v>0</v>
      </c>
      <c r="I47" s="13" t="n">
        <v>0</v>
      </c>
      <c r="J47" s="13" t="n">
        <v>0</v>
      </c>
      <c r="K47" s="13" t="n">
        <v>0</v>
      </c>
      <c r="L47" s="17" t="n">
        <f aca="false">H47*Parameters!$B$6</f>
        <v>0</v>
      </c>
      <c r="M47" s="17" t="n">
        <f aca="false">H47*0.3</f>
        <v>0</v>
      </c>
    </row>
    <row r="48" customFormat="false" ht="15" hidden="false" customHeight="true" outlineLevel="0" collapsed="false">
      <c r="A48" s="13" t="s">
        <v>197</v>
      </c>
      <c r="B48" s="13" t="s">
        <v>196</v>
      </c>
      <c r="C48" s="13" t="n">
        <v>20</v>
      </c>
      <c r="D48" s="13" t="n">
        <v>9</v>
      </c>
      <c r="E48" s="13" t="n">
        <v>26</v>
      </c>
      <c r="F48" s="13" t="n">
        <v>100</v>
      </c>
      <c r="G48" s="13" t="n">
        <v>7.59</v>
      </c>
      <c r="H48" s="13" t="n">
        <v>0</v>
      </c>
      <c r="I48" s="13" t="n">
        <v>0</v>
      </c>
      <c r="J48" s="13" t="n">
        <v>0</v>
      </c>
      <c r="K48" s="13" t="n">
        <v>0</v>
      </c>
      <c r="L48" s="17" t="n">
        <f aca="false">H48*Parameters!$B$6</f>
        <v>0</v>
      </c>
      <c r="M48" s="17" t="n">
        <f aca="false">H48*0.3</f>
        <v>0</v>
      </c>
    </row>
    <row r="49" customFormat="false" ht="15" hidden="false" customHeight="true" outlineLevel="0" collapsed="false">
      <c r="A49" s="13" t="s">
        <v>197</v>
      </c>
      <c r="B49" s="13" t="s">
        <v>196</v>
      </c>
      <c r="C49" s="13" t="n">
        <v>20</v>
      </c>
      <c r="D49" s="13" t="n">
        <v>9</v>
      </c>
      <c r="E49" s="13" t="n">
        <v>40</v>
      </c>
      <c r="F49" s="13" t="n">
        <v>100</v>
      </c>
      <c r="G49" s="13" t="n">
        <v>7.82</v>
      </c>
      <c r="H49" s="13" t="n">
        <v>0</v>
      </c>
      <c r="I49" s="13" t="n">
        <v>0</v>
      </c>
      <c r="J49" s="13" t="n">
        <v>0</v>
      </c>
      <c r="K49" s="13" t="n">
        <v>0</v>
      </c>
      <c r="L49" s="17" t="n">
        <f aca="false">H49*Parameters!$B$6</f>
        <v>0</v>
      </c>
      <c r="M49" s="17" t="n">
        <f aca="false">H49*0.3</f>
        <v>0</v>
      </c>
    </row>
    <row r="50" customFormat="false" ht="15" hidden="false" customHeight="true" outlineLevel="0" collapsed="false">
      <c r="A50" s="13" t="s">
        <v>197</v>
      </c>
      <c r="B50" s="13" t="s">
        <v>196</v>
      </c>
      <c r="C50" s="13" t="n">
        <v>12</v>
      </c>
      <c r="D50" s="13" t="n">
        <v>6</v>
      </c>
      <c r="E50" s="13" t="n">
        <v>26</v>
      </c>
      <c r="F50" s="13" t="n">
        <v>100</v>
      </c>
      <c r="G50" s="13" t="n">
        <v>7.12</v>
      </c>
      <c r="H50" s="13" t="n">
        <v>0</v>
      </c>
      <c r="I50" s="13" t="n">
        <v>0</v>
      </c>
      <c r="J50" s="13" t="n">
        <v>0</v>
      </c>
      <c r="K50" s="13" t="n">
        <v>0</v>
      </c>
      <c r="L50" s="17" t="n">
        <f aca="false">H50*Parameters!$B$6</f>
        <v>0</v>
      </c>
      <c r="M50" s="17" t="n">
        <f aca="false">H50*0.3</f>
        <v>0</v>
      </c>
    </row>
    <row r="51" customFormat="false" ht="15" hidden="false" customHeight="true" outlineLevel="0" collapsed="false">
      <c r="A51" s="13" t="s">
        <v>197</v>
      </c>
      <c r="B51" s="13" t="s">
        <v>196</v>
      </c>
      <c r="C51" s="13" t="n">
        <v>12</v>
      </c>
      <c r="D51" s="13" t="n">
        <v>6</v>
      </c>
      <c r="E51" s="13" t="n">
        <v>40</v>
      </c>
      <c r="F51" s="13" t="n">
        <v>100</v>
      </c>
      <c r="G51" s="13" t="n">
        <v>7.64</v>
      </c>
      <c r="H51" s="13" t="n">
        <v>0</v>
      </c>
      <c r="I51" s="13" t="n">
        <v>0</v>
      </c>
      <c r="J51" s="13" t="n">
        <v>0</v>
      </c>
      <c r="K51" s="13" t="n">
        <v>0</v>
      </c>
      <c r="L51" s="17" t="n">
        <f aca="false">H51*Parameters!$B$6</f>
        <v>0</v>
      </c>
      <c r="M51" s="17" t="n">
        <f aca="false">H51*0.3</f>
        <v>0</v>
      </c>
    </row>
    <row r="52" customFormat="false" ht="15" hidden="false" customHeight="true" outlineLevel="0" collapsed="false">
      <c r="A52" s="13" t="s">
        <v>197</v>
      </c>
      <c r="B52" s="13" t="s">
        <v>196</v>
      </c>
      <c r="C52" s="13" t="n">
        <v>6</v>
      </c>
      <c r="D52" s="13" t="n">
        <v>4</v>
      </c>
      <c r="E52" s="13" t="n">
        <v>26</v>
      </c>
      <c r="F52" s="13" t="n">
        <v>100</v>
      </c>
      <c r="G52" s="13" t="n">
        <v>6.29</v>
      </c>
      <c r="H52" s="13" t="n">
        <v>0</v>
      </c>
      <c r="I52" s="13" t="n">
        <v>0</v>
      </c>
      <c r="J52" s="13" t="n">
        <v>0</v>
      </c>
      <c r="K52" s="13" t="n">
        <v>0</v>
      </c>
      <c r="L52" s="17" t="n">
        <f aca="false">H52*Parameters!$B$6</f>
        <v>0</v>
      </c>
      <c r="M52" s="17" t="n">
        <f aca="false">H52*0.3</f>
        <v>0</v>
      </c>
    </row>
    <row r="53" customFormat="false" ht="15" hidden="false" customHeight="true" outlineLevel="0" collapsed="false">
      <c r="A53" s="13" t="s">
        <v>197</v>
      </c>
      <c r="B53" s="13" t="s">
        <v>196</v>
      </c>
      <c r="C53" s="13" t="n">
        <v>6</v>
      </c>
      <c r="D53" s="13" t="n">
        <v>4</v>
      </c>
      <c r="E53" s="13" t="n">
        <v>40</v>
      </c>
      <c r="F53" s="13" t="n">
        <v>100</v>
      </c>
      <c r="G53" s="13" t="n">
        <v>6.12</v>
      </c>
      <c r="H53" s="13" t="n">
        <v>0</v>
      </c>
      <c r="I53" s="13" t="n">
        <v>0</v>
      </c>
      <c r="J53" s="13" t="n">
        <v>0</v>
      </c>
      <c r="K53" s="13" t="n">
        <v>0</v>
      </c>
      <c r="L53" s="17" t="n">
        <f aca="false">H53*Parameters!$B$6</f>
        <v>0</v>
      </c>
      <c r="M53" s="17" t="n">
        <f aca="false">H53*0.3</f>
        <v>0</v>
      </c>
    </row>
    <row r="56" customFormat="false" ht="15" hidden="false" customHeight="true" outlineLevel="0" collapsed="false">
      <c r="A56" s="2" t="s">
        <v>198</v>
      </c>
    </row>
    <row r="57" customFormat="false" ht="15" hidden="false" customHeight="true" outlineLevel="0" collapsed="false">
      <c r="A57" s="7" t="s">
        <v>199</v>
      </c>
    </row>
    <row r="58" customFormat="false" ht="15" hidden="false" customHeight="true" outlineLevel="0" collapsed="false">
      <c r="B58" s="14" t="s">
        <v>131</v>
      </c>
      <c r="C58" s="14" t="s">
        <v>130</v>
      </c>
      <c r="D58" s="14" t="s">
        <v>129</v>
      </c>
    </row>
    <row r="59" customFormat="false" ht="15" hidden="false" customHeight="true" outlineLevel="0" collapsed="false">
      <c r="A59" s="15" t="s">
        <v>193</v>
      </c>
      <c r="B59" s="16" t="n">
        <f aca="false">IFERROR(AVERAGEIFS(Retargeting!$I$6:$I$53,Retargeting!$A$6:$A$53,"single",Retargeting!$B$6:$B$53,"same",Retargeting!$C$6:$C$53,20,Retargeting!$E$6:$E$53,40),"")</f>
        <v>3.48</v>
      </c>
      <c r="C59" s="16" t="n">
        <f aca="false">IFERROR(AVERAGEIFS(Retargeting!$I$6:$I$53,Retargeting!$A$6:$A$53,"single",Retargeting!$B$6:$B$53,"same",Retargeting!$C$6:$C$53,12,Retargeting!$E$6:$E$53,40),"")</f>
        <v>3.43</v>
      </c>
      <c r="D59" s="16" t="n">
        <f aca="false">IFERROR(AVERAGEIFS(Retargeting!$I$6:$I$53,Retargeting!$A$6:$A$53,"single",Retargeting!$B$6:$B$53,"same",Retargeting!$C$6:$C$53,6,Retargeting!$E$6:$E$53,40),"")</f>
        <v>3.17</v>
      </c>
    </row>
    <row r="60" customFormat="false" ht="15" hidden="false" customHeight="true" outlineLevel="0" collapsed="false">
      <c r="A60" s="15" t="s">
        <v>194</v>
      </c>
      <c r="B60" s="16" t="n">
        <f aca="false">IFERROR(AVERAGEIFS(Retargeting!$I$6:$I$53,Retargeting!$A$6:$A$53,"single",Retargeting!$B$6:$B$53,"redirect",Retargeting!$C$6:$C$53,20,Retargeting!$E$6:$E$53,40),"")</f>
        <v>5.24</v>
      </c>
      <c r="C60" s="16" t="n">
        <f aca="false">IFERROR(AVERAGEIFS(Retargeting!$I$6:$I$53,Retargeting!$A$6:$A$53,"single",Retargeting!$B$6:$B$53,"redirect",Retargeting!$C$6:$C$53,12,Retargeting!$E$6:$E$53,40),"")</f>
        <v>4.74</v>
      </c>
      <c r="D60" s="16" t="n">
        <f aca="false">IFERROR(AVERAGEIFS(Retargeting!$I$6:$I$53,Retargeting!$A$6:$A$53,"single",Retargeting!$B$6:$B$53,"redirect",Retargeting!$C$6:$C$53,6,Retargeting!$E$6:$E$53,40),"")</f>
        <v>4.23</v>
      </c>
    </row>
    <row r="61" customFormat="false" ht="15" hidden="false" customHeight="true" outlineLevel="0" collapsed="false">
      <c r="A61" s="15" t="s">
        <v>195</v>
      </c>
      <c r="B61" s="16" t="n">
        <f aca="false">IFERROR(AVERAGEIFS(Retargeting!$I$6:$I$53,Retargeting!$A$6:$A$53,"single",Retargeting!$B$6:$B$53,"random",Retargeting!$C$6:$C$53,20,Retargeting!$E$6:$E$53,40),"")</f>
        <v>5.57</v>
      </c>
      <c r="C61" s="16" t="n">
        <f aca="false">IFERROR(AVERAGEIFS(Retargeting!$I$6:$I$53,Retargeting!$A$6:$A$53,"single",Retargeting!$B$6:$B$53,"random",Retargeting!$C$6:$C$53,12,Retargeting!$E$6:$E$53,40),"")</f>
        <v>5.11</v>
      </c>
      <c r="D61" s="16" t="n">
        <f aca="false">IFERROR(AVERAGEIFS(Retargeting!$I$6:$I$53,Retargeting!$A$6:$A$53,"single",Retargeting!$B$6:$B$53,"random",Retargeting!$C$6:$C$53,6,Retargeting!$E$6:$E$53,40),"")</f>
        <v>4.61</v>
      </c>
    </row>
    <row r="62" customFormat="false" ht="15" hidden="false" customHeight="true" outlineLevel="0" collapsed="false">
      <c r="A62" s="15" t="s">
        <v>196</v>
      </c>
      <c r="B62" s="16" t="n">
        <f aca="false">IFERROR(AVERAGEIFS(Retargeting!$I$6:$I$53,Retargeting!$A$6:$A$53,"single",Retargeting!$B$6:$B$53,"spread",Retargeting!$C$6:$C$53,20,Retargeting!$E$6:$E$53,40),"")</f>
        <v>5.56</v>
      </c>
      <c r="C62" s="16" t="n">
        <f aca="false">IFERROR(AVERAGEIFS(Retargeting!$I$6:$I$53,Retargeting!$A$6:$A$53,"single",Retargeting!$B$6:$B$53,"spread",Retargeting!$C$6:$C$53,12,Retargeting!$E$6:$E$53,40),"")</f>
        <v>5.1</v>
      </c>
      <c r="D62" s="16" t="n">
        <f aca="false">IFERROR(AVERAGEIFS(Retargeting!$I$6:$I$53,Retargeting!$A$6:$A$53,"single",Retargeting!$B$6:$B$53,"spread",Retargeting!$C$6:$C$53,6,Retargeting!$E$6:$E$53,40),"")</f>
        <v>4.48</v>
      </c>
    </row>
    <row r="65" customFormat="false" ht="15" hidden="false" customHeight="true" outlineLevel="0" collapsed="false">
      <c r="A65" s="2" t="s">
        <v>200</v>
      </c>
    </row>
    <row r="66" customFormat="false" ht="15" hidden="false" customHeight="true" outlineLevel="0" collapsed="false">
      <c r="A66" s="7" t="s">
        <v>201</v>
      </c>
    </row>
    <row r="67" customFormat="false" ht="15" hidden="false" customHeight="true" outlineLevel="0" collapsed="false">
      <c r="B67" s="14" t="s">
        <v>131</v>
      </c>
      <c r="C67" s="14" t="s">
        <v>130</v>
      </c>
      <c r="D67" s="14" t="s">
        <v>129</v>
      </c>
    </row>
    <row r="68" customFormat="false" ht="15" hidden="false" customHeight="true" outlineLevel="0" collapsed="false">
      <c r="A68" s="15" t="s">
        <v>193</v>
      </c>
      <c r="B68" s="16" t="n">
        <f aca="false">IFERROR(AVERAGEIFS(Retargeting!$J$6:$J$53,Retargeting!$A$6:$A$53,"single",Retargeting!$B$6:$B$53,"same",Retargeting!$C$6:$C$53,20,Retargeting!$E$6:$E$53,40),"")</f>
        <v>1</v>
      </c>
      <c r="C68" s="16" t="n">
        <f aca="false">IFERROR(AVERAGEIFS(Retargeting!$J$6:$J$53,Retargeting!$A$6:$A$53,"single",Retargeting!$B$6:$B$53,"same",Retargeting!$C$6:$C$53,12,Retargeting!$E$6:$E$53,40),"")</f>
        <v>1</v>
      </c>
      <c r="D68" s="16" t="n">
        <f aca="false">IFERROR(AVERAGEIFS(Retargeting!$J$6:$J$53,Retargeting!$A$6:$A$53,"single",Retargeting!$B$6:$B$53,"same",Retargeting!$C$6:$C$53,6,Retargeting!$E$6:$E$53,40),"")</f>
        <v>1</v>
      </c>
    </row>
    <row r="69" customFormat="false" ht="15" hidden="false" customHeight="true" outlineLevel="0" collapsed="false">
      <c r="A69" s="15" t="s">
        <v>194</v>
      </c>
      <c r="B69" s="16" t="n">
        <f aca="false">IFERROR(AVERAGEIFS(Retargeting!$J$6:$J$53,Retargeting!$A$6:$A$53,"single",Retargeting!$B$6:$B$53,"redirect",Retargeting!$C$6:$C$53,20,Retargeting!$E$6:$E$53,40),"")</f>
        <v>2.48</v>
      </c>
      <c r="C69" s="16" t="n">
        <f aca="false">IFERROR(AVERAGEIFS(Retargeting!$J$6:$J$53,Retargeting!$A$6:$A$53,"single",Retargeting!$B$6:$B$53,"redirect",Retargeting!$C$6:$C$53,12,Retargeting!$E$6:$E$53,40),"")</f>
        <v>2.07</v>
      </c>
      <c r="D69" s="16" t="n">
        <f aca="false">IFERROR(AVERAGEIFS(Retargeting!$J$6:$J$53,Retargeting!$A$6:$A$53,"single",Retargeting!$B$6:$B$53,"redirect",Retargeting!$C$6:$C$53,6,Retargeting!$E$6:$E$53,40),"")</f>
        <v>1.77</v>
      </c>
    </row>
    <row r="70" customFormat="false" ht="15" hidden="false" customHeight="true" outlineLevel="0" collapsed="false">
      <c r="A70" s="15" t="s">
        <v>195</v>
      </c>
      <c r="B70" s="16" t="n">
        <f aca="false">IFERROR(AVERAGEIFS(Retargeting!$J$6:$J$53,Retargeting!$A$6:$A$53,"single",Retargeting!$B$6:$B$53,"random",Retargeting!$C$6:$C$53,20,Retargeting!$E$6:$E$53,40),"")</f>
        <v>4.68</v>
      </c>
      <c r="C70" s="16" t="n">
        <f aca="false">IFERROR(AVERAGEIFS(Retargeting!$J$6:$J$53,Retargeting!$A$6:$A$53,"single",Retargeting!$B$6:$B$53,"random",Retargeting!$C$6:$C$53,12,Retargeting!$E$6:$E$53,40),"")</f>
        <v>3.53</v>
      </c>
      <c r="D70" s="16" t="n">
        <f aca="false">IFERROR(AVERAGEIFS(Retargeting!$J$6:$J$53,Retargeting!$A$6:$A$53,"single",Retargeting!$B$6:$B$53,"random",Retargeting!$C$6:$C$53,6,Retargeting!$E$6:$E$53,40),"")</f>
        <v>2.55</v>
      </c>
    </row>
    <row r="71" customFormat="false" ht="15" hidden="false" customHeight="true" outlineLevel="0" collapsed="false">
      <c r="A71" s="15" t="s">
        <v>196</v>
      </c>
      <c r="B71" s="16" t="n">
        <f aca="false">IFERROR(AVERAGEIFS(Retargeting!$J$6:$J$53,Retargeting!$A$6:$A$53,"single",Retargeting!$B$6:$B$53,"spread",Retargeting!$C$6:$C$53,20,Retargeting!$E$6:$E$53,40),"")</f>
        <v>4.6</v>
      </c>
      <c r="C71" s="16" t="n">
        <f aca="false">IFERROR(AVERAGEIFS(Retargeting!$J$6:$J$53,Retargeting!$A$6:$A$53,"single",Retargeting!$B$6:$B$53,"spread",Retargeting!$C$6:$C$53,12,Retargeting!$E$6:$E$53,40),"")</f>
        <v>3.48</v>
      </c>
      <c r="D71" s="16" t="n">
        <f aca="false">IFERROR(AVERAGEIFS(Retargeting!$J$6:$J$53,Retargeting!$A$6:$A$53,"single",Retargeting!$B$6:$B$53,"spread",Retargeting!$C$6:$C$53,6,Retargeting!$E$6:$E$53,40),"")</f>
        <v>2.35</v>
      </c>
    </row>
    <row r="74" customFormat="false" ht="15" hidden="false" customHeight="true" outlineLevel="0" collapsed="false">
      <c r="A74" s="2" t="s">
        <v>202</v>
      </c>
    </row>
    <row r="75" customFormat="false" ht="15" hidden="false" customHeight="true" outlineLevel="0" collapsed="false">
      <c r="A75" s="7"/>
    </row>
    <row r="76" customFormat="false" ht="15" hidden="false" customHeight="true" outlineLevel="0" collapsed="false">
      <c r="B76" s="14" t="s">
        <v>131</v>
      </c>
      <c r="C76" s="14" t="s">
        <v>130</v>
      </c>
      <c r="D76" s="14" t="s">
        <v>129</v>
      </c>
    </row>
    <row r="77" customFormat="false" ht="15" hidden="false" customHeight="true" outlineLevel="0" collapsed="false">
      <c r="A77" s="15" t="s">
        <v>193</v>
      </c>
      <c r="B77" s="18" t="n">
        <f aca="false">IFERROR(AVERAGEIFS(Retargeting!$K$6:$K$53,Retargeting!$A$6:$A$53,"single",Retargeting!$B$6:$B$53,"same",Retargeting!$C$6:$C$53,20,Retargeting!$E$6:$E$53,40),"")</f>
        <v>6.87</v>
      </c>
      <c r="C77" s="18" t="n">
        <f aca="false">IFERROR(AVERAGEIFS(Retargeting!$K$6:$K$53,Retargeting!$A$6:$A$53,"single",Retargeting!$B$6:$B$53,"same",Retargeting!$C$6:$C$53,12,Retargeting!$E$6:$E$53,40),"")</f>
        <v>4.14</v>
      </c>
      <c r="D77" s="18" t="n">
        <f aca="false">IFERROR(AVERAGEIFS(Retargeting!$K$6:$K$53,Retargeting!$A$6:$A$53,"single",Retargeting!$B$6:$B$53,"same",Retargeting!$C$6:$C$53,6,Retargeting!$E$6:$E$53,40),"")</f>
        <v>2.22</v>
      </c>
    </row>
    <row r="78" customFormat="false" ht="15" hidden="false" customHeight="true" outlineLevel="0" collapsed="false">
      <c r="A78" s="15" t="s">
        <v>194</v>
      </c>
      <c r="B78" s="18" t="n">
        <f aca="false">IFERROR(AVERAGEIFS(Retargeting!$K$6:$K$53,Retargeting!$A$6:$A$53,"single",Retargeting!$B$6:$B$53,"redirect",Retargeting!$C$6:$C$53,20,Retargeting!$E$6:$E$53,40),"")</f>
        <v>12.26</v>
      </c>
      <c r="C78" s="18" t="n">
        <f aca="false">IFERROR(AVERAGEIFS(Retargeting!$K$6:$K$53,Retargeting!$A$6:$A$53,"single",Retargeting!$B$6:$B$53,"redirect",Retargeting!$C$6:$C$53,12,Retargeting!$E$6:$E$53,40),"")</f>
        <v>7.51</v>
      </c>
      <c r="D78" s="18" t="n">
        <f aca="false">IFERROR(AVERAGEIFS(Retargeting!$K$6:$K$53,Retargeting!$A$6:$A$53,"single",Retargeting!$B$6:$B$53,"redirect",Retargeting!$C$6:$C$53,6,Retargeting!$E$6:$E$53,40),"")</f>
        <v>3.51</v>
      </c>
    </row>
    <row r="79" customFormat="false" ht="15" hidden="false" customHeight="true" outlineLevel="0" collapsed="false">
      <c r="A79" s="15" t="s">
        <v>195</v>
      </c>
      <c r="B79" s="18" t="n">
        <f aca="false">IFERROR(AVERAGEIFS(Retargeting!$K$6:$K$53,Retargeting!$A$6:$A$53,"single",Retargeting!$B$6:$B$53,"random",Retargeting!$C$6:$C$53,20,Retargeting!$E$6:$E$53,40),"")</f>
        <v>13.58</v>
      </c>
      <c r="C79" s="18" t="n">
        <f aca="false">IFERROR(AVERAGEIFS(Retargeting!$K$6:$K$53,Retargeting!$A$6:$A$53,"single",Retargeting!$B$6:$B$53,"random",Retargeting!$C$6:$C$53,12,Retargeting!$E$6:$E$53,40),"")</f>
        <v>8</v>
      </c>
      <c r="D79" s="18" t="n">
        <f aca="false">IFERROR(AVERAGEIFS(Retargeting!$K$6:$K$53,Retargeting!$A$6:$A$53,"single",Retargeting!$B$6:$B$53,"random",Retargeting!$C$6:$C$53,6,Retargeting!$E$6:$E$53,40),"")</f>
        <v>3.56</v>
      </c>
    </row>
    <row r="80" customFormat="false" ht="15" hidden="false" customHeight="true" outlineLevel="0" collapsed="false">
      <c r="A80" s="15" t="s">
        <v>196</v>
      </c>
      <c r="B80" s="18" t="n">
        <f aca="false">IFERROR(AVERAGEIFS(Retargeting!$K$6:$K$53,Retargeting!$A$6:$A$53,"single",Retargeting!$B$6:$B$53,"spread",Retargeting!$C$6:$C$53,20,Retargeting!$E$6:$E$53,40),"")</f>
        <v>13.5</v>
      </c>
      <c r="C80" s="18" t="n">
        <f aca="false">IFERROR(AVERAGEIFS(Retargeting!$K$6:$K$53,Retargeting!$A$6:$A$53,"single",Retargeting!$B$6:$B$53,"spread",Retargeting!$C$6:$C$53,12,Retargeting!$E$6:$E$53,40),"")</f>
        <v>7.89</v>
      </c>
      <c r="D80" s="18" t="n">
        <f aca="false">IFERROR(AVERAGEIFS(Retargeting!$K$6:$K$53,Retargeting!$A$6:$A$53,"single",Retargeting!$B$6:$B$53,"spread",Retargeting!$C$6:$C$53,6,Retargeting!$E$6:$E$53,40),"")</f>
        <v>3.5</v>
      </c>
    </row>
    <row r="83" customFormat="false" ht="15" hidden="false" customHeight="true" outlineLevel="0" collapsed="false">
      <c r="A83" s="2" t="s">
        <v>203</v>
      </c>
    </row>
    <row r="84" customFormat="false" ht="15" hidden="false" customHeight="true" outlineLevel="0" collapsed="false">
      <c r="A84" s="7" t="s">
        <v>204</v>
      </c>
    </row>
    <row r="85" customFormat="false" ht="23.25" hidden="false" customHeight="true" outlineLevel="0" collapsed="false">
      <c r="B85" s="14" t="s">
        <v>205</v>
      </c>
      <c r="C85" s="14" t="s">
        <v>206</v>
      </c>
    </row>
    <row r="86" customFormat="false" ht="15" hidden="false" customHeight="true" outlineLevel="0" collapsed="false">
      <c r="A86" s="15" t="s">
        <v>193</v>
      </c>
      <c r="B86" s="17" t="n">
        <f aca="false">IFERROR(AVERAGEIFS(Retargeting!$H$6:$H$53,Retargeting!$A$6:$A$53,"single",Retargeting!$B$6:$B$53,"same",Retargeting!$C$6:$C$53,20,Retargeting!$E$6:$E$53,40)*Parameters!$B$6,"")</f>
        <v>155.775</v>
      </c>
      <c r="C86" s="17" t="n">
        <f aca="false">IFERROR(AVERAGEIFS(Retargeting!$H$6:$H$53,Retargeting!$A$6:$A$53,"single",Retargeting!$B$6:$B$53,"same",Retargeting!$C$6:$C$53,20,Retargeting!$E$6:$E$53,40)*0.3,"")</f>
        <v>30.15</v>
      </c>
    </row>
    <row r="87" customFormat="false" ht="15" hidden="false" customHeight="true" outlineLevel="0" collapsed="false">
      <c r="A87" s="15" t="s">
        <v>194</v>
      </c>
      <c r="B87" s="17" t="n">
        <f aca="false">IFERROR(AVERAGEIFS(Retargeting!$H$6:$H$53,Retargeting!$A$6:$A$53,"single",Retargeting!$B$6:$B$53,"redirect",Retargeting!$C$6:$C$53,20,Retargeting!$E$6:$E$53,40)*Parameters!$B$6,"")</f>
        <v>173.29</v>
      </c>
      <c r="C87" s="17" t="n">
        <f aca="false">IFERROR(AVERAGEIFS(Retargeting!$H$6:$H$53,Retargeting!$A$6:$A$53,"single",Retargeting!$B$6:$B$53,"redirect",Retargeting!$C$6:$C$53,20,Retargeting!$E$6:$E$53,40)*0.3,"")</f>
        <v>33.54</v>
      </c>
    </row>
    <row r="88" customFormat="false" ht="15" hidden="false" customHeight="true" outlineLevel="0" collapsed="false">
      <c r="A88" s="15" t="s">
        <v>195</v>
      </c>
      <c r="B88" s="17" t="n">
        <f aca="false">IFERROR(AVERAGEIFS(Retargeting!$H$6:$H$53,Retargeting!$A$6:$A$53,"single",Retargeting!$B$6:$B$53,"random",Retargeting!$C$6:$C$53,20,Retargeting!$E$6:$E$53,40)*Parameters!$B$6,"")</f>
        <v>179.49</v>
      </c>
      <c r="C88" s="17" t="n">
        <f aca="false">IFERROR(AVERAGEIFS(Retargeting!$H$6:$H$53,Retargeting!$A$6:$A$53,"single",Retargeting!$B$6:$B$53,"random",Retargeting!$C$6:$C$53,20,Retargeting!$E$6:$E$53,40)*0.3,"")</f>
        <v>34.74</v>
      </c>
    </row>
    <row r="89" customFormat="false" ht="15" hidden="false" customHeight="true" outlineLevel="0" collapsed="false">
      <c r="A89" s="15" t="s">
        <v>196</v>
      </c>
      <c r="B89" s="17" t="n">
        <f aca="false">IFERROR(AVERAGEIFS(Retargeting!$H$6:$H$53,Retargeting!$A$6:$A$53,"single",Retargeting!$B$6:$B$53,"spread",Retargeting!$C$6:$C$53,20,Retargeting!$E$6:$E$53,40)*Parameters!$B$6,"")</f>
        <v>179.645</v>
      </c>
      <c r="C89" s="17" t="n">
        <f aca="false">IFERROR(AVERAGEIFS(Retargeting!$H$6:$H$53,Retargeting!$A$6:$A$53,"single",Retargeting!$B$6:$B$53,"spread",Retargeting!$C$6:$C$53,20,Retargeting!$E$6:$E$53,40)*0.3,"")</f>
        <v>34.77</v>
      </c>
    </row>
  </sheetData>
  <autoFilter ref="A5:M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7"/>
    <col collapsed="false" customWidth="true" hidden="false" outlineLevel="0" max="4" min="4" style="1" width="12"/>
    <col collapsed="false" customWidth="true" hidden="false" outlineLevel="0" max="9" min="5" style="1" width="9"/>
    <col collapsed="false" customWidth="true" hidden="false" outlineLevel="0" max="12" min="10" style="1" width="11"/>
    <col collapsed="false" customWidth="true" hidden="false" outlineLevel="0" max="13" min="13" style="1" width="10"/>
    <col collapsed="false" customWidth="true" hidden="false" outlineLevel="0" max="17" min="14" style="1" width="11"/>
  </cols>
  <sheetData>
    <row r="1" customFormat="false" ht="34.5" hidden="false" customHeight="true" outlineLevel="0" collapsed="false">
      <c r="A1" s="14" t="s">
        <v>207</v>
      </c>
      <c r="B1" s="14" t="s">
        <v>188</v>
      </c>
      <c r="C1" s="14" t="s">
        <v>187</v>
      </c>
      <c r="D1" s="14" t="s">
        <v>208</v>
      </c>
      <c r="E1" s="14" t="s">
        <v>209</v>
      </c>
      <c r="F1" s="14" t="s">
        <v>160</v>
      </c>
      <c r="G1" s="14" t="s">
        <v>45</v>
      </c>
      <c r="H1" s="14" t="s">
        <v>210</v>
      </c>
      <c r="I1" s="14" t="s">
        <v>211</v>
      </c>
      <c r="J1" s="14" t="s">
        <v>212</v>
      </c>
      <c r="K1" s="14" t="s">
        <v>213</v>
      </c>
      <c r="L1" s="14" t="s">
        <v>214</v>
      </c>
      <c r="M1" s="14" t="s">
        <v>215</v>
      </c>
      <c r="N1" s="14" t="s">
        <v>216</v>
      </c>
      <c r="O1" s="14" t="s">
        <v>217</v>
      </c>
      <c r="P1" s="14" t="s">
        <v>218</v>
      </c>
      <c r="Q1" s="14" t="s">
        <v>219</v>
      </c>
    </row>
    <row r="2" customFormat="false" ht="15" hidden="false" customHeight="true" outlineLevel="0" collapsed="false">
      <c r="A2" s="13" t="s">
        <v>197</v>
      </c>
      <c r="B2" s="13" t="n">
        <v>3</v>
      </c>
      <c r="C2" s="13" t="n">
        <v>6</v>
      </c>
      <c r="D2" s="13" t="s">
        <v>134</v>
      </c>
      <c r="E2" s="13" t="n">
        <v>0</v>
      </c>
      <c r="F2" s="18" t="n">
        <v>100</v>
      </c>
      <c r="G2" s="13" t="n">
        <v>6.67</v>
      </c>
      <c r="H2" s="13" t="n">
        <v>30.4</v>
      </c>
      <c r="I2" s="13" t="n">
        <v>6.29</v>
      </c>
      <c r="J2" s="13" t="n">
        <v>0</v>
      </c>
      <c r="K2" s="13" t="n">
        <v>0</v>
      </c>
      <c r="L2" s="13" t="n">
        <v>79</v>
      </c>
      <c r="M2" s="13" t="n">
        <v>3</v>
      </c>
      <c r="N2" s="16" t="n">
        <f aca="false">H2*Parameters!$B$6/60</f>
        <v>0.785333333333333</v>
      </c>
      <c r="O2" s="18" t="n">
        <f aca="false">IF(G2=0,0,H2/G2)</f>
        <v>4.55772113943029</v>
      </c>
      <c r="P2" s="18" t="n">
        <f aca="false">IF(N2=0,0,Parameters!$B$8/N2)</f>
        <v>59.8471986417657</v>
      </c>
      <c r="Q2" s="28" t="n">
        <f aca="false">N2/Parameters!$B$8</f>
        <v>0.016709219858156</v>
      </c>
    </row>
    <row r="3" customFormat="false" ht="15" hidden="false" customHeight="true" outlineLevel="0" collapsed="false">
      <c r="A3" s="13" t="s">
        <v>197</v>
      </c>
      <c r="B3" s="13" t="n">
        <v>3</v>
      </c>
      <c r="C3" s="13" t="n">
        <v>6</v>
      </c>
      <c r="D3" s="13" t="s">
        <v>135</v>
      </c>
      <c r="E3" s="13" t="n">
        <v>2</v>
      </c>
      <c r="F3" s="18" t="n">
        <v>100</v>
      </c>
      <c r="G3" s="13" t="n">
        <v>6.28</v>
      </c>
      <c r="H3" s="13" t="n">
        <v>28.6</v>
      </c>
      <c r="I3" s="13" t="n">
        <v>6.29</v>
      </c>
      <c r="J3" s="13" t="n">
        <v>6.29</v>
      </c>
      <c r="K3" s="13" t="n">
        <v>0</v>
      </c>
      <c r="L3" s="13" t="n">
        <v>79</v>
      </c>
      <c r="M3" s="13" t="n">
        <v>3</v>
      </c>
      <c r="N3" s="16" t="n">
        <f aca="false">H3*Parameters!$B$6/60</f>
        <v>0.738833333333334</v>
      </c>
      <c r="O3" s="18" t="n">
        <f aca="false">IF(G3=0,0,H3/G3)</f>
        <v>4.55414012738854</v>
      </c>
      <c r="P3" s="18" t="n">
        <f aca="false">IF(N3=0,0,Parameters!$B$8/N3)</f>
        <v>63.6138055492894</v>
      </c>
      <c r="Q3" s="28" t="n">
        <f aca="false">N3/Parameters!$B$8</f>
        <v>0.0157198581560284</v>
      </c>
    </row>
    <row r="4" customFormat="false" ht="15" hidden="false" customHeight="true" outlineLevel="0" collapsed="false">
      <c r="A4" s="13" t="s">
        <v>197</v>
      </c>
      <c r="B4" s="13" t="n">
        <v>3</v>
      </c>
      <c r="C4" s="13" t="n">
        <v>6</v>
      </c>
      <c r="D4" s="13" t="s">
        <v>135</v>
      </c>
      <c r="E4" s="13" t="n">
        <v>3</v>
      </c>
      <c r="F4" s="18" t="n">
        <v>100</v>
      </c>
      <c r="G4" s="13" t="n">
        <v>6.05</v>
      </c>
      <c r="H4" s="13" t="n">
        <v>26.9</v>
      </c>
      <c r="I4" s="13" t="n">
        <v>6.29</v>
      </c>
      <c r="J4" s="13" t="n">
        <v>12.58</v>
      </c>
      <c r="K4" s="13" t="n">
        <v>0</v>
      </c>
      <c r="L4" s="13" t="n">
        <v>78</v>
      </c>
      <c r="M4" s="13" t="n">
        <v>3</v>
      </c>
      <c r="N4" s="16" t="n">
        <f aca="false">H4*Parameters!$B$6/60</f>
        <v>0.694916666666667</v>
      </c>
      <c r="O4" s="18" t="n">
        <f aca="false">IF(G4=0,0,H4/G4)</f>
        <v>4.44628099173554</v>
      </c>
      <c r="P4" s="18" t="n">
        <f aca="false">IF(N4=0,0,Parameters!$B$8/N4)</f>
        <v>67.6340088739657</v>
      </c>
      <c r="Q4" s="28" t="n">
        <f aca="false">N4/Parameters!$B$8</f>
        <v>0.0147854609929078</v>
      </c>
    </row>
    <row r="5" customFormat="false" ht="15" hidden="false" customHeight="true" outlineLevel="0" collapsed="false">
      <c r="A5" s="13" t="s">
        <v>197</v>
      </c>
      <c r="B5" s="13" t="n">
        <v>3</v>
      </c>
      <c r="C5" s="13" t="n">
        <v>6</v>
      </c>
      <c r="D5" s="13" t="s">
        <v>135</v>
      </c>
      <c r="E5" s="13" t="n">
        <v>4</v>
      </c>
      <c r="F5" s="18" t="n">
        <v>100</v>
      </c>
      <c r="G5" s="13" t="n">
        <v>5.01</v>
      </c>
      <c r="H5" s="13" t="n">
        <v>23</v>
      </c>
      <c r="I5" s="13" t="n">
        <v>6.59</v>
      </c>
      <c r="J5" s="13" t="n">
        <v>19.78</v>
      </c>
      <c r="K5" s="13" t="n">
        <v>0</v>
      </c>
      <c r="L5" s="13" t="n">
        <v>72</v>
      </c>
      <c r="M5" s="13" t="n">
        <v>3</v>
      </c>
      <c r="N5" s="16" t="n">
        <f aca="false">H5*Parameters!$B$6/60</f>
        <v>0.594166666666667</v>
      </c>
      <c r="O5" s="18" t="n">
        <f aca="false">IF(G5=0,0,H5/G5)</f>
        <v>4.59081836327345</v>
      </c>
      <c r="P5" s="18" t="n">
        <f aca="false">IF(N5=0,0,Parameters!$B$8/N5)</f>
        <v>79.1023842917251</v>
      </c>
      <c r="Q5" s="28" t="n">
        <f aca="false">N5/Parameters!$B$8</f>
        <v>0.0126418439716312</v>
      </c>
    </row>
    <row r="6" customFormat="false" ht="15" hidden="false" customHeight="true" outlineLevel="0" collapsed="false">
      <c r="A6" s="13" t="s">
        <v>197</v>
      </c>
      <c r="B6" s="13" t="n">
        <v>3</v>
      </c>
      <c r="C6" s="13" t="n">
        <v>6</v>
      </c>
      <c r="D6" s="13" t="s">
        <v>136</v>
      </c>
      <c r="E6" s="13" t="n">
        <v>2</v>
      </c>
      <c r="F6" s="18" t="n">
        <v>100</v>
      </c>
      <c r="G6" s="13" t="n">
        <v>6</v>
      </c>
      <c r="H6" s="13" t="n">
        <v>27</v>
      </c>
      <c r="I6" s="13" t="n">
        <v>8.2</v>
      </c>
      <c r="J6" s="13" t="n">
        <v>0</v>
      </c>
      <c r="K6" s="13" t="n">
        <v>0</v>
      </c>
      <c r="L6" s="13" t="n">
        <v>37</v>
      </c>
      <c r="M6" s="13" t="n">
        <v>3</v>
      </c>
      <c r="N6" s="16" t="n">
        <f aca="false">H6*Parameters!$B$6/60</f>
        <v>0.6975</v>
      </c>
      <c r="O6" s="18" t="n">
        <f aca="false">IF(G6=0,0,H6/G6)</f>
        <v>4.5</v>
      </c>
      <c r="P6" s="18" t="n">
        <f aca="false">IF(N6=0,0,Parameters!$B$8/N6)</f>
        <v>67.3835125448029</v>
      </c>
      <c r="Q6" s="28" t="n">
        <f aca="false">N6/Parameters!$B$8</f>
        <v>0.0148404255319149</v>
      </c>
    </row>
    <row r="7" customFormat="false" ht="15" hidden="false" customHeight="true" outlineLevel="0" collapsed="false">
      <c r="A7" s="13" t="s">
        <v>197</v>
      </c>
      <c r="B7" s="13" t="n">
        <v>3</v>
      </c>
      <c r="C7" s="13" t="n">
        <v>6</v>
      </c>
      <c r="D7" s="13" t="s">
        <v>136</v>
      </c>
      <c r="E7" s="13" t="n">
        <v>3</v>
      </c>
      <c r="F7" s="18" t="n">
        <v>100</v>
      </c>
      <c r="G7" s="13" t="n">
        <v>5.99</v>
      </c>
      <c r="H7" s="13" t="n">
        <v>25.7</v>
      </c>
      <c r="I7" s="13" t="n">
        <v>8.39</v>
      </c>
      <c r="J7" s="13" t="n">
        <v>0</v>
      </c>
      <c r="K7" s="13" t="n">
        <v>0</v>
      </c>
      <c r="L7" s="13" t="n">
        <v>36</v>
      </c>
      <c r="M7" s="13" t="n">
        <v>3</v>
      </c>
      <c r="N7" s="16" t="n">
        <f aca="false">H7*Parameters!$B$6/60</f>
        <v>0.663916666666667</v>
      </c>
      <c r="O7" s="18" t="n">
        <f aca="false">IF(G7=0,0,H7/G7)</f>
        <v>4.29048414023372</v>
      </c>
      <c r="P7" s="18" t="n">
        <f aca="false">IF(N7=0,0,Parameters!$B$8/N7)</f>
        <v>70.7920170704155</v>
      </c>
      <c r="Q7" s="28" t="n">
        <f aca="false">N7/Parameters!$B$8</f>
        <v>0.0141258865248227</v>
      </c>
    </row>
    <row r="8" customFormat="false" ht="15" hidden="false" customHeight="true" outlineLevel="0" collapsed="false">
      <c r="A8" s="13" t="s">
        <v>197</v>
      </c>
      <c r="B8" s="13" t="n">
        <v>3</v>
      </c>
      <c r="C8" s="13" t="n">
        <v>6</v>
      </c>
      <c r="D8" s="13" t="s">
        <v>136</v>
      </c>
      <c r="E8" s="13" t="n">
        <v>4</v>
      </c>
      <c r="F8" s="18" t="n">
        <v>100</v>
      </c>
      <c r="G8" s="13" t="n">
        <v>5.89</v>
      </c>
      <c r="H8" s="13" t="n">
        <v>25.4</v>
      </c>
      <c r="I8" s="13" t="n">
        <v>8.39</v>
      </c>
      <c r="J8" s="13" t="n">
        <v>0</v>
      </c>
      <c r="K8" s="13" t="n">
        <v>0</v>
      </c>
      <c r="L8" s="13" t="n">
        <v>36</v>
      </c>
      <c r="M8" s="13" t="n">
        <v>3</v>
      </c>
      <c r="N8" s="16" t="n">
        <f aca="false">H8*Parameters!$B$6/60</f>
        <v>0.656166666666667</v>
      </c>
      <c r="O8" s="18" t="n">
        <f aca="false">IF(G8=0,0,H8/G8)</f>
        <v>4.31239388794567</v>
      </c>
      <c r="P8" s="18" t="n">
        <f aca="false">IF(N8=0,0,Parameters!$B$8/N8)</f>
        <v>71.6281432562865</v>
      </c>
      <c r="Q8" s="28" t="n">
        <f aca="false">N8/Parameters!$B$8</f>
        <v>0.0139609929078014</v>
      </c>
    </row>
    <row r="9" customFormat="false" ht="15" hidden="false" customHeight="true" outlineLevel="0" collapsed="false">
      <c r="A9" s="13" t="s">
        <v>197</v>
      </c>
      <c r="B9" s="13" t="n">
        <v>3</v>
      </c>
      <c r="C9" s="13" t="n">
        <v>6</v>
      </c>
      <c r="D9" s="13" t="s">
        <v>137</v>
      </c>
      <c r="E9" s="13" t="n">
        <v>2</v>
      </c>
      <c r="F9" s="18" t="n">
        <v>100</v>
      </c>
      <c r="G9" s="13" t="n">
        <v>3</v>
      </c>
      <c r="H9" s="13" t="n">
        <v>15</v>
      </c>
      <c r="I9" s="13" t="n">
        <v>5</v>
      </c>
      <c r="J9" s="13" t="n">
        <v>0</v>
      </c>
      <c r="K9" s="13" t="n">
        <v>3</v>
      </c>
      <c r="L9" s="13" t="n">
        <v>49</v>
      </c>
      <c r="M9" s="13" t="n">
        <v>3</v>
      </c>
      <c r="N9" s="16" t="n">
        <f aca="false">H9*Parameters!$B$6/60</f>
        <v>0.3875</v>
      </c>
      <c r="O9" s="18" t="n">
        <f aca="false">IF(G9=0,0,H9/G9)</f>
        <v>5</v>
      </c>
      <c r="P9" s="18" t="n">
        <f aca="false">IF(N9=0,0,Parameters!$B$8/N9)</f>
        <v>121.290322580645</v>
      </c>
      <c r="Q9" s="28" t="n">
        <f aca="false">N9/Parameters!$B$8</f>
        <v>0.00824468085106383</v>
      </c>
    </row>
    <row r="10" customFormat="false" ht="15" hidden="false" customHeight="true" outlineLevel="0" collapsed="false">
      <c r="A10" s="13" t="s">
        <v>197</v>
      </c>
      <c r="B10" s="13" t="n">
        <v>3</v>
      </c>
      <c r="C10" s="13" t="n">
        <v>6</v>
      </c>
      <c r="D10" s="13" t="s">
        <v>137</v>
      </c>
      <c r="E10" s="13" t="n">
        <v>3</v>
      </c>
      <c r="F10" s="18" t="n">
        <v>100</v>
      </c>
      <c r="G10" s="13" t="n">
        <v>3</v>
      </c>
      <c r="H10" s="13" t="n">
        <v>14.9</v>
      </c>
      <c r="I10" s="13" t="n">
        <v>5</v>
      </c>
      <c r="J10" s="13" t="n">
        <v>0</v>
      </c>
      <c r="K10" s="13" t="n">
        <v>3</v>
      </c>
      <c r="L10" s="13" t="n">
        <v>48</v>
      </c>
      <c r="M10" s="13" t="n">
        <v>3</v>
      </c>
      <c r="N10" s="16" t="n">
        <f aca="false">H10*Parameters!$B$6/60</f>
        <v>0.384916666666667</v>
      </c>
      <c r="O10" s="18" t="n">
        <f aca="false">IF(G10=0,0,H10/G10)</f>
        <v>4.96666666666667</v>
      </c>
      <c r="P10" s="18" t="n">
        <f aca="false">IF(N10=0,0,Parameters!$B$8/N10)</f>
        <v>122.104351591254</v>
      </c>
      <c r="Q10" s="28" t="n">
        <f aca="false">N10/Parameters!$B$8</f>
        <v>0.00818971631205674</v>
      </c>
    </row>
    <row r="11" customFormat="false" ht="15" hidden="false" customHeight="true" outlineLevel="0" collapsed="false">
      <c r="A11" s="13" t="s">
        <v>197</v>
      </c>
      <c r="B11" s="13" t="n">
        <v>3</v>
      </c>
      <c r="C11" s="13" t="n">
        <v>6</v>
      </c>
      <c r="D11" s="13" t="s">
        <v>137</v>
      </c>
      <c r="E11" s="13" t="n">
        <v>4</v>
      </c>
      <c r="F11" s="18" t="n">
        <v>100</v>
      </c>
      <c r="G11" s="13" t="n">
        <v>3</v>
      </c>
      <c r="H11" s="13" t="n">
        <v>13.5</v>
      </c>
      <c r="I11" s="13" t="n">
        <v>3</v>
      </c>
      <c r="J11" s="13" t="n">
        <v>0</v>
      </c>
      <c r="K11" s="13" t="n">
        <v>2</v>
      </c>
      <c r="L11" s="13" t="n">
        <v>46</v>
      </c>
      <c r="M11" s="13" t="n">
        <v>3</v>
      </c>
      <c r="N11" s="16" t="n">
        <f aca="false">H11*Parameters!$B$6/60</f>
        <v>0.34875</v>
      </c>
      <c r="O11" s="18" t="n">
        <f aca="false">IF(G11=0,0,H11/G11)</f>
        <v>4.5</v>
      </c>
      <c r="P11" s="18" t="n">
        <f aca="false">IF(N11=0,0,Parameters!$B$8/N11)</f>
        <v>134.767025089606</v>
      </c>
      <c r="Q11" s="28" t="n">
        <f aca="false">N11/Parameters!$B$8</f>
        <v>0.00742021276595745</v>
      </c>
    </row>
    <row r="12" customFormat="false" ht="15" hidden="false" customHeight="true" outlineLevel="0" collapsed="false">
      <c r="A12" s="13" t="s">
        <v>197</v>
      </c>
      <c r="B12" s="13" t="n">
        <v>3</v>
      </c>
      <c r="C12" s="13" t="n">
        <v>12</v>
      </c>
      <c r="D12" s="13" t="s">
        <v>134</v>
      </c>
      <c r="E12" s="13" t="n">
        <v>0</v>
      </c>
      <c r="F12" s="18" t="n">
        <v>100</v>
      </c>
      <c r="G12" s="13" t="n">
        <v>9.54</v>
      </c>
      <c r="H12" s="13" t="n">
        <v>48.3</v>
      </c>
      <c r="I12" s="13" t="n">
        <v>13.6</v>
      </c>
      <c r="J12" s="13" t="n">
        <v>0</v>
      </c>
      <c r="K12" s="13" t="n">
        <v>0</v>
      </c>
      <c r="L12" s="13" t="n">
        <v>175</v>
      </c>
      <c r="M12" s="13" t="n">
        <v>3</v>
      </c>
      <c r="N12" s="16" t="n">
        <f aca="false">H12*Parameters!$B$6/60</f>
        <v>1.24775</v>
      </c>
      <c r="O12" s="18" t="n">
        <f aca="false">IF(G12=0,0,H12/G12)</f>
        <v>5.06289308176101</v>
      </c>
      <c r="P12" s="18" t="n">
        <f aca="false">IF(N12=0,0,Parameters!$B$8/N12)</f>
        <v>37.6678020436786</v>
      </c>
      <c r="Q12" s="28" t="n">
        <f aca="false">N12/Parameters!$B$8</f>
        <v>0.0265478723404255</v>
      </c>
    </row>
    <row r="13" customFormat="false" ht="15" hidden="false" customHeight="true" outlineLevel="0" collapsed="false">
      <c r="A13" s="13" t="s">
        <v>197</v>
      </c>
      <c r="B13" s="13" t="n">
        <v>3</v>
      </c>
      <c r="C13" s="13" t="n">
        <v>12</v>
      </c>
      <c r="D13" s="13" t="s">
        <v>135</v>
      </c>
      <c r="E13" s="13" t="n">
        <v>2</v>
      </c>
      <c r="F13" s="18" t="n">
        <v>100</v>
      </c>
      <c r="G13" s="13" t="n">
        <v>9.23</v>
      </c>
      <c r="H13" s="13" t="n">
        <v>47.3</v>
      </c>
      <c r="I13" s="13" t="n">
        <v>12.75</v>
      </c>
      <c r="J13" s="13" t="n">
        <v>12.75</v>
      </c>
      <c r="K13" s="13" t="n">
        <v>0</v>
      </c>
      <c r="L13" s="13" t="n">
        <v>172</v>
      </c>
      <c r="M13" s="13" t="n">
        <v>3</v>
      </c>
      <c r="N13" s="16" t="n">
        <f aca="false">H13*Parameters!$B$6/60</f>
        <v>1.22191666666667</v>
      </c>
      <c r="O13" s="18" t="n">
        <f aca="false">IF(G13=0,0,H13/G13)</f>
        <v>5.12459371614301</v>
      </c>
      <c r="P13" s="18" t="n">
        <f aca="false">IF(N13=0,0,Parameters!$B$8/N13)</f>
        <v>38.4641614949192</v>
      </c>
      <c r="Q13" s="28" t="n">
        <f aca="false">N13/Parameters!$B$8</f>
        <v>0.0259982269503546</v>
      </c>
    </row>
    <row r="14" customFormat="false" ht="15" hidden="false" customHeight="true" outlineLevel="0" collapsed="false">
      <c r="A14" s="13" t="s">
        <v>197</v>
      </c>
      <c r="B14" s="13" t="n">
        <v>3</v>
      </c>
      <c r="C14" s="13" t="n">
        <v>12</v>
      </c>
      <c r="D14" s="13" t="s">
        <v>135</v>
      </c>
      <c r="E14" s="13" t="n">
        <v>3</v>
      </c>
      <c r="F14" s="18" t="n">
        <v>100</v>
      </c>
      <c r="G14" s="13" t="n">
        <v>8.52</v>
      </c>
      <c r="H14" s="13" t="n">
        <v>42.3</v>
      </c>
      <c r="I14" s="13" t="n">
        <v>12.72</v>
      </c>
      <c r="J14" s="13" t="n">
        <v>25.45</v>
      </c>
      <c r="K14" s="13" t="n">
        <v>0</v>
      </c>
      <c r="L14" s="13" t="n">
        <v>156</v>
      </c>
      <c r="M14" s="13" t="n">
        <v>3</v>
      </c>
      <c r="N14" s="16" t="n">
        <f aca="false">H14*Parameters!$B$6/60</f>
        <v>1.09275</v>
      </c>
      <c r="O14" s="18" t="n">
        <f aca="false">IF(G14=0,0,H14/G14)</f>
        <v>4.96478873239437</v>
      </c>
      <c r="P14" s="18" t="n">
        <f aca="false">IF(N14=0,0,Parameters!$B$8/N14)</f>
        <v>43.0107526881721</v>
      </c>
      <c r="Q14" s="28" t="n">
        <f aca="false">N14/Parameters!$B$8</f>
        <v>0.02325</v>
      </c>
    </row>
    <row r="15" customFormat="false" ht="15" hidden="false" customHeight="true" outlineLevel="0" collapsed="false">
      <c r="A15" s="13" t="s">
        <v>197</v>
      </c>
      <c r="B15" s="13" t="n">
        <v>3</v>
      </c>
      <c r="C15" s="13" t="n">
        <v>12</v>
      </c>
      <c r="D15" s="13" t="s">
        <v>135</v>
      </c>
      <c r="E15" s="13" t="n">
        <v>4</v>
      </c>
      <c r="F15" s="18" t="n">
        <v>100</v>
      </c>
      <c r="G15" s="13" t="n">
        <v>7.91</v>
      </c>
      <c r="H15" s="13" t="n">
        <v>39.2</v>
      </c>
      <c r="I15" s="13" t="n">
        <v>12.04</v>
      </c>
      <c r="J15" s="13" t="n">
        <v>36.06</v>
      </c>
      <c r="K15" s="13" t="n">
        <v>0</v>
      </c>
      <c r="L15" s="13" t="n">
        <v>140</v>
      </c>
      <c r="M15" s="13" t="n">
        <v>3</v>
      </c>
      <c r="N15" s="16" t="n">
        <f aca="false">H15*Parameters!$B$6/60</f>
        <v>1.01266666666667</v>
      </c>
      <c r="O15" s="18" t="n">
        <f aca="false">IF(G15=0,0,H15/G15)</f>
        <v>4.95575221238938</v>
      </c>
      <c r="P15" s="18" t="n">
        <f aca="false">IF(N15=0,0,Parameters!$B$8/N15)</f>
        <v>46.4121132323897</v>
      </c>
      <c r="Q15" s="28" t="n">
        <f aca="false">N15/Parameters!$B$8</f>
        <v>0.0215460992907801</v>
      </c>
    </row>
    <row r="16" customFormat="false" ht="15" hidden="false" customHeight="true" outlineLevel="0" collapsed="false">
      <c r="A16" s="13" t="s">
        <v>197</v>
      </c>
      <c r="B16" s="13" t="n">
        <v>3</v>
      </c>
      <c r="C16" s="13" t="n">
        <v>12</v>
      </c>
      <c r="D16" s="13" t="s">
        <v>136</v>
      </c>
      <c r="E16" s="13" t="n">
        <v>2</v>
      </c>
      <c r="F16" s="18" t="n">
        <v>100</v>
      </c>
      <c r="G16" s="13" t="n">
        <v>8.64</v>
      </c>
      <c r="H16" s="13" t="n">
        <v>41.5</v>
      </c>
      <c r="I16" s="13" t="n">
        <v>16.92</v>
      </c>
      <c r="J16" s="13" t="n">
        <v>0</v>
      </c>
      <c r="K16" s="13" t="n">
        <v>0</v>
      </c>
      <c r="L16" s="13" t="n">
        <v>66</v>
      </c>
      <c r="M16" s="13" t="n">
        <v>3</v>
      </c>
      <c r="N16" s="16" t="n">
        <f aca="false">H16*Parameters!$B$6/60</f>
        <v>1.07208333333333</v>
      </c>
      <c r="O16" s="18" t="n">
        <f aca="false">IF(G16=0,0,H16/G16)</f>
        <v>4.80324074074074</v>
      </c>
      <c r="P16" s="18" t="n">
        <f aca="false">IF(N16=0,0,Parameters!$B$8/N16)</f>
        <v>43.8398756315585</v>
      </c>
      <c r="Q16" s="28" t="n">
        <f aca="false">N16/Parameters!$B$8</f>
        <v>0.0228102836879433</v>
      </c>
    </row>
    <row r="17" customFormat="false" ht="15" hidden="false" customHeight="true" outlineLevel="0" collapsed="false">
      <c r="A17" s="13" t="s">
        <v>197</v>
      </c>
      <c r="B17" s="13" t="n">
        <v>3</v>
      </c>
      <c r="C17" s="13" t="n">
        <v>12</v>
      </c>
      <c r="D17" s="13" t="s">
        <v>136</v>
      </c>
      <c r="E17" s="13" t="n">
        <v>3</v>
      </c>
      <c r="F17" s="18" t="n">
        <v>100</v>
      </c>
      <c r="G17" s="13" t="n">
        <v>8.63</v>
      </c>
      <c r="H17" s="13" t="n">
        <v>41.2</v>
      </c>
      <c r="I17" s="13" t="n">
        <v>17.28</v>
      </c>
      <c r="J17" s="13" t="n">
        <v>0</v>
      </c>
      <c r="K17" s="13" t="n">
        <v>0</v>
      </c>
      <c r="L17" s="13" t="n">
        <v>64</v>
      </c>
      <c r="M17" s="13" t="n">
        <v>3</v>
      </c>
      <c r="N17" s="16" t="n">
        <f aca="false">H17*Parameters!$B$6/60</f>
        <v>1.06433333333333</v>
      </c>
      <c r="O17" s="18" t="n">
        <f aca="false">IF(G17=0,0,H17/G17)</f>
        <v>4.77404403244496</v>
      </c>
      <c r="P17" s="18" t="n">
        <f aca="false">IF(N17=0,0,Parameters!$B$8/N17)</f>
        <v>44.1590980269339</v>
      </c>
      <c r="Q17" s="28" t="n">
        <f aca="false">N17/Parameters!$B$8</f>
        <v>0.022645390070922</v>
      </c>
    </row>
    <row r="18" customFormat="false" ht="15" hidden="false" customHeight="true" outlineLevel="0" collapsed="false">
      <c r="A18" s="13" t="s">
        <v>197</v>
      </c>
      <c r="B18" s="13" t="n">
        <v>3</v>
      </c>
      <c r="C18" s="13" t="n">
        <v>12</v>
      </c>
      <c r="D18" s="13" t="s">
        <v>136</v>
      </c>
      <c r="E18" s="13" t="n">
        <v>4</v>
      </c>
      <c r="F18" s="18" t="n">
        <v>100</v>
      </c>
      <c r="G18" s="13" t="n">
        <v>8.53</v>
      </c>
      <c r="H18" s="13" t="n">
        <v>40.5</v>
      </c>
      <c r="I18" s="13" t="n">
        <v>17.38</v>
      </c>
      <c r="J18" s="13" t="n">
        <v>0</v>
      </c>
      <c r="K18" s="13" t="n">
        <v>0</v>
      </c>
      <c r="L18" s="13" t="n">
        <v>60</v>
      </c>
      <c r="M18" s="13" t="n">
        <v>3</v>
      </c>
      <c r="N18" s="16" t="n">
        <f aca="false">H18*Parameters!$B$6/60</f>
        <v>1.04625</v>
      </c>
      <c r="O18" s="18" t="n">
        <f aca="false">IF(G18=0,0,H18/G18)</f>
        <v>4.74794841735053</v>
      </c>
      <c r="P18" s="18" t="n">
        <f aca="false">IF(N18=0,0,Parameters!$B$8/N18)</f>
        <v>44.9223416965353</v>
      </c>
      <c r="Q18" s="28" t="n">
        <f aca="false">N18/Parameters!$B$8</f>
        <v>0.0222606382978723</v>
      </c>
    </row>
    <row r="19" customFormat="false" ht="15" hidden="false" customHeight="true" outlineLevel="0" collapsed="false">
      <c r="A19" s="13" t="s">
        <v>197</v>
      </c>
      <c r="B19" s="13" t="n">
        <v>3</v>
      </c>
      <c r="C19" s="13" t="n">
        <v>12</v>
      </c>
      <c r="D19" s="13" t="s">
        <v>137</v>
      </c>
      <c r="E19" s="13" t="n">
        <v>2</v>
      </c>
      <c r="F19" s="18" t="n">
        <v>100</v>
      </c>
      <c r="G19" s="13" t="n">
        <v>6.95</v>
      </c>
      <c r="H19" s="13" t="n">
        <v>34.6</v>
      </c>
      <c r="I19" s="13" t="n">
        <v>10.44</v>
      </c>
      <c r="J19" s="13" t="n">
        <v>0</v>
      </c>
      <c r="K19" s="13" t="n">
        <v>3</v>
      </c>
      <c r="L19" s="13" t="n">
        <v>111</v>
      </c>
      <c r="M19" s="13" t="n">
        <v>3</v>
      </c>
      <c r="N19" s="16" t="n">
        <f aca="false">H19*Parameters!$B$6/60</f>
        <v>0.893833333333333</v>
      </c>
      <c r="O19" s="18" t="n">
        <f aca="false">IF(G19=0,0,H19/G19)</f>
        <v>4.97841726618705</v>
      </c>
      <c r="P19" s="18" t="n">
        <f aca="false">IF(N19=0,0,Parameters!$B$8/N19)</f>
        <v>52.582509789297</v>
      </c>
      <c r="Q19" s="28" t="n">
        <f aca="false">N19/Parameters!$B$8</f>
        <v>0.0190177304964539</v>
      </c>
    </row>
    <row r="20" customFormat="false" ht="15" hidden="false" customHeight="true" outlineLevel="0" collapsed="false">
      <c r="A20" s="13" t="s">
        <v>197</v>
      </c>
      <c r="B20" s="13" t="n">
        <v>3</v>
      </c>
      <c r="C20" s="13" t="n">
        <v>12</v>
      </c>
      <c r="D20" s="13" t="s">
        <v>137</v>
      </c>
      <c r="E20" s="13" t="n">
        <v>3</v>
      </c>
      <c r="F20" s="18" t="n">
        <v>100</v>
      </c>
      <c r="G20" s="13" t="n">
        <v>5.95</v>
      </c>
      <c r="H20" s="13" t="n">
        <v>30.7</v>
      </c>
      <c r="I20" s="13" t="n">
        <v>9.56</v>
      </c>
      <c r="J20" s="13" t="n">
        <v>0</v>
      </c>
      <c r="K20" s="13" t="n">
        <v>3</v>
      </c>
      <c r="L20" s="13" t="n">
        <v>96</v>
      </c>
      <c r="M20" s="13" t="n">
        <v>3</v>
      </c>
      <c r="N20" s="16" t="n">
        <f aca="false">H20*Parameters!$B$6/60</f>
        <v>0.793083333333333</v>
      </c>
      <c r="O20" s="18" t="n">
        <f aca="false">IF(G20=0,0,H20/G20)</f>
        <v>5.15966386554622</v>
      </c>
      <c r="P20" s="18" t="n">
        <f aca="false">IF(N20=0,0,Parameters!$B$8/N20)</f>
        <v>59.2623725964064</v>
      </c>
      <c r="Q20" s="28" t="n">
        <f aca="false">N20/Parameters!$B$8</f>
        <v>0.0168741134751773</v>
      </c>
    </row>
    <row r="21" customFormat="false" ht="15" hidden="false" customHeight="true" outlineLevel="0" collapsed="false">
      <c r="A21" s="13" t="s">
        <v>197</v>
      </c>
      <c r="B21" s="13" t="n">
        <v>3</v>
      </c>
      <c r="C21" s="13" t="n">
        <v>12</v>
      </c>
      <c r="D21" s="13" t="s">
        <v>137</v>
      </c>
      <c r="E21" s="13" t="n">
        <v>4</v>
      </c>
      <c r="F21" s="18" t="n">
        <v>100</v>
      </c>
      <c r="G21" s="13" t="n">
        <v>6</v>
      </c>
      <c r="H21" s="13" t="n">
        <v>32.8</v>
      </c>
      <c r="I21" s="13" t="n">
        <v>9</v>
      </c>
      <c r="J21" s="13" t="n">
        <v>0</v>
      </c>
      <c r="K21" s="13" t="n">
        <v>3</v>
      </c>
      <c r="L21" s="13" t="n">
        <v>100</v>
      </c>
      <c r="M21" s="13" t="n">
        <v>3</v>
      </c>
      <c r="N21" s="16" t="n">
        <f aca="false">H21*Parameters!$B$6/60</f>
        <v>0.847333333333333</v>
      </c>
      <c r="O21" s="18" t="n">
        <f aca="false">IF(G21=0,0,H21/G21)</f>
        <v>5.46666666666667</v>
      </c>
      <c r="P21" s="18" t="n">
        <f aca="false">IF(N21=0,0,Parameters!$B$8/N21)</f>
        <v>55.4681353265146</v>
      </c>
      <c r="Q21" s="28" t="n">
        <f aca="false">N21/Parameters!$B$8</f>
        <v>0.0180283687943262</v>
      </c>
    </row>
    <row r="22" customFormat="false" ht="15" hidden="false" customHeight="true" outlineLevel="0" collapsed="false">
      <c r="A22" s="13" t="s">
        <v>197</v>
      </c>
      <c r="B22" s="13" t="n">
        <v>3</v>
      </c>
      <c r="C22" s="13" t="n">
        <v>20</v>
      </c>
      <c r="D22" s="13" t="s">
        <v>134</v>
      </c>
      <c r="E22" s="13" t="n">
        <v>0</v>
      </c>
      <c r="F22" s="18" t="n">
        <v>93.6</v>
      </c>
      <c r="G22" s="13" t="n">
        <v>15.21</v>
      </c>
      <c r="H22" s="13" t="n">
        <v>79.6</v>
      </c>
      <c r="I22" s="13" t="n">
        <v>22.15</v>
      </c>
      <c r="J22" s="13" t="n">
        <v>0</v>
      </c>
      <c r="K22" s="13" t="n">
        <v>0</v>
      </c>
      <c r="L22" s="13" t="n">
        <v>286</v>
      </c>
      <c r="M22" s="13" t="n">
        <v>3</v>
      </c>
      <c r="N22" s="16" t="n">
        <f aca="false">H22*Parameters!$B$6/60</f>
        <v>2.05633333333333</v>
      </c>
      <c r="O22" s="18" t="n">
        <f aca="false">IF(G22=0,0,H22/G22)</f>
        <v>5.23339907955293</v>
      </c>
      <c r="P22" s="18" t="n">
        <f aca="false">IF(N22=0,0,Parameters!$B$8/N22)</f>
        <v>22.8562165667045</v>
      </c>
      <c r="Q22" s="28" t="n">
        <f aca="false">N22/Parameters!$B$8</f>
        <v>0.0437517730496454</v>
      </c>
    </row>
    <row r="23" customFormat="false" ht="15" hidden="false" customHeight="true" outlineLevel="0" collapsed="false">
      <c r="A23" s="13" t="s">
        <v>197</v>
      </c>
      <c r="B23" s="13" t="n">
        <v>3</v>
      </c>
      <c r="C23" s="13" t="n">
        <v>20</v>
      </c>
      <c r="D23" s="13" t="s">
        <v>135</v>
      </c>
      <c r="E23" s="13" t="n">
        <v>2</v>
      </c>
      <c r="F23" s="18" t="n">
        <v>96.4</v>
      </c>
      <c r="G23" s="13" t="n">
        <v>14.91</v>
      </c>
      <c r="H23" s="13" t="n">
        <v>79</v>
      </c>
      <c r="I23" s="13" t="n">
        <v>21.13</v>
      </c>
      <c r="J23" s="13" t="n">
        <v>21.13</v>
      </c>
      <c r="K23" s="13" t="n">
        <v>0</v>
      </c>
      <c r="L23" s="13" t="n">
        <v>282</v>
      </c>
      <c r="M23" s="13" t="n">
        <v>3</v>
      </c>
      <c r="N23" s="16" t="n">
        <f aca="false">H23*Parameters!$B$6/60</f>
        <v>2.04083333333333</v>
      </c>
      <c r="O23" s="18" t="n">
        <f aca="false">IF(G23=0,0,H23/G23)</f>
        <v>5.29845741113347</v>
      </c>
      <c r="P23" s="18" t="n">
        <f aca="false">IF(N23=0,0,Parameters!$B$8/N23)</f>
        <v>23.0298080849326</v>
      </c>
      <c r="Q23" s="28" t="n">
        <f aca="false">N23/Parameters!$B$8</f>
        <v>0.0434219858156028</v>
      </c>
    </row>
    <row r="24" customFormat="false" ht="15" hidden="false" customHeight="true" outlineLevel="0" collapsed="false">
      <c r="A24" s="13" t="s">
        <v>197</v>
      </c>
      <c r="B24" s="13" t="n">
        <v>3</v>
      </c>
      <c r="C24" s="13" t="n">
        <v>20</v>
      </c>
      <c r="D24" s="13" t="s">
        <v>135</v>
      </c>
      <c r="E24" s="13" t="n">
        <v>3</v>
      </c>
      <c r="F24" s="18" t="n">
        <v>100</v>
      </c>
      <c r="G24" s="13" t="n">
        <v>12.54</v>
      </c>
      <c r="H24" s="13" t="n">
        <v>67.4</v>
      </c>
      <c r="I24" s="13" t="n">
        <v>21.03</v>
      </c>
      <c r="J24" s="13" t="n">
        <v>42.02</v>
      </c>
      <c r="K24" s="13" t="n">
        <v>0</v>
      </c>
      <c r="L24" s="13" t="n">
        <v>253</v>
      </c>
      <c r="M24" s="13" t="n">
        <v>3</v>
      </c>
      <c r="N24" s="16" t="n">
        <f aca="false">H24*Parameters!$B$6/60</f>
        <v>1.74116666666667</v>
      </c>
      <c r="O24" s="18" t="n">
        <f aca="false">IF(G24=0,0,H24/G24)</f>
        <v>5.37480063795853</v>
      </c>
      <c r="P24" s="18" t="n">
        <f aca="false">IF(N24=0,0,Parameters!$B$8/N24)</f>
        <v>26.9933952330813</v>
      </c>
      <c r="Q24" s="28" t="n">
        <f aca="false">N24/Parameters!$B$8</f>
        <v>0.0370460992907802</v>
      </c>
    </row>
    <row r="25" customFormat="false" ht="15" hidden="false" customHeight="true" outlineLevel="0" collapsed="false">
      <c r="A25" s="13" t="s">
        <v>197</v>
      </c>
      <c r="B25" s="13" t="n">
        <v>3</v>
      </c>
      <c r="C25" s="13" t="n">
        <v>20</v>
      </c>
      <c r="D25" s="13" t="s">
        <v>135</v>
      </c>
      <c r="E25" s="13" t="n">
        <v>4</v>
      </c>
      <c r="F25" s="18" t="n">
        <v>100</v>
      </c>
      <c r="G25" s="13" t="n">
        <v>11.75</v>
      </c>
      <c r="H25" s="13" t="n">
        <v>62.9</v>
      </c>
      <c r="I25" s="13" t="n">
        <v>20.77</v>
      </c>
      <c r="J25" s="13" t="n">
        <v>60.99</v>
      </c>
      <c r="K25" s="13" t="n">
        <v>0</v>
      </c>
      <c r="L25" s="13" t="n">
        <v>235</v>
      </c>
      <c r="M25" s="13" t="n">
        <v>3</v>
      </c>
      <c r="N25" s="16" t="n">
        <f aca="false">H25*Parameters!$B$6/60</f>
        <v>1.62491666666667</v>
      </c>
      <c r="O25" s="18" t="n">
        <f aca="false">IF(G25=0,0,H25/G25)</f>
        <v>5.3531914893617</v>
      </c>
      <c r="P25" s="18" t="n">
        <f aca="false">IF(N25=0,0,Parameters!$B$8/N25)</f>
        <v>28.9245602338581</v>
      </c>
      <c r="Q25" s="28" t="n">
        <f aca="false">N25/Parameters!$B$8</f>
        <v>0.034572695035461</v>
      </c>
    </row>
    <row r="26" customFormat="false" ht="15" hidden="false" customHeight="true" outlineLevel="0" collapsed="false">
      <c r="A26" s="13" t="s">
        <v>197</v>
      </c>
      <c r="B26" s="13" t="n">
        <v>3</v>
      </c>
      <c r="C26" s="13" t="n">
        <v>20</v>
      </c>
      <c r="D26" s="13" t="s">
        <v>136</v>
      </c>
      <c r="E26" s="13" t="n">
        <v>2</v>
      </c>
      <c r="F26" s="18" t="n">
        <v>100</v>
      </c>
      <c r="G26" s="13" t="n">
        <v>12.5</v>
      </c>
      <c r="H26" s="13" t="n">
        <v>63.2</v>
      </c>
      <c r="I26" s="13" t="n">
        <v>27.98</v>
      </c>
      <c r="J26" s="13" t="n">
        <v>0</v>
      </c>
      <c r="K26" s="13" t="n">
        <v>0</v>
      </c>
      <c r="L26" s="13" t="n">
        <v>97</v>
      </c>
      <c r="M26" s="13" t="n">
        <v>3</v>
      </c>
      <c r="N26" s="16" t="n">
        <f aca="false">H26*Parameters!$B$6/60</f>
        <v>1.63266666666667</v>
      </c>
      <c r="O26" s="18" t="n">
        <f aca="false">IF(G26=0,0,H26/G26)</f>
        <v>5.056</v>
      </c>
      <c r="P26" s="18" t="n">
        <f aca="false">IF(N26=0,0,Parameters!$B$8/N26)</f>
        <v>28.7872601061658</v>
      </c>
      <c r="Q26" s="28" t="n">
        <f aca="false">N26/Parameters!$B$8</f>
        <v>0.0347375886524823</v>
      </c>
    </row>
    <row r="27" customFormat="false" ht="15" hidden="false" customHeight="true" outlineLevel="0" collapsed="false">
      <c r="A27" s="13" t="s">
        <v>197</v>
      </c>
      <c r="B27" s="13" t="n">
        <v>3</v>
      </c>
      <c r="C27" s="13" t="n">
        <v>20</v>
      </c>
      <c r="D27" s="13" t="s">
        <v>136</v>
      </c>
      <c r="E27" s="13" t="n">
        <v>3</v>
      </c>
      <c r="F27" s="18" t="n">
        <v>100</v>
      </c>
      <c r="G27" s="13" t="n">
        <v>12.52</v>
      </c>
      <c r="H27" s="13" t="n">
        <v>62.3</v>
      </c>
      <c r="I27" s="13" t="n">
        <v>28.92</v>
      </c>
      <c r="J27" s="13" t="n">
        <v>0</v>
      </c>
      <c r="K27" s="13" t="n">
        <v>0</v>
      </c>
      <c r="L27" s="13" t="n">
        <v>87</v>
      </c>
      <c r="M27" s="13" t="n">
        <v>3</v>
      </c>
      <c r="N27" s="16" t="n">
        <f aca="false">H27*Parameters!$B$6/60</f>
        <v>1.60941666666667</v>
      </c>
      <c r="O27" s="18" t="n">
        <f aca="false">IF(G27=0,0,H27/G27)</f>
        <v>4.97603833865815</v>
      </c>
      <c r="P27" s="18" t="n">
        <f aca="false">IF(N27=0,0,Parameters!$B$8/N27)</f>
        <v>29.2031274271216</v>
      </c>
      <c r="Q27" s="28" t="n">
        <f aca="false">N27/Parameters!$B$8</f>
        <v>0.0342429078014184</v>
      </c>
    </row>
    <row r="28" customFormat="false" ht="15" hidden="false" customHeight="true" outlineLevel="0" collapsed="false">
      <c r="A28" s="13" t="s">
        <v>197</v>
      </c>
      <c r="B28" s="13" t="n">
        <v>3</v>
      </c>
      <c r="C28" s="13" t="n">
        <v>20</v>
      </c>
      <c r="D28" s="13" t="s">
        <v>136</v>
      </c>
      <c r="E28" s="13" t="n">
        <v>4</v>
      </c>
      <c r="F28" s="18" t="n">
        <v>100</v>
      </c>
      <c r="G28" s="13" t="n">
        <v>12.54</v>
      </c>
      <c r="H28" s="13" t="n">
        <v>62.3</v>
      </c>
      <c r="I28" s="13" t="n">
        <v>29.05</v>
      </c>
      <c r="J28" s="13" t="n">
        <v>0</v>
      </c>
      <c r="K28" s="13" t="n">
        <v>0</v>
      </c>
      <c r="L28" s="13" t="n">
        <v>85</v>
      </c>
      <c r="M28" s="13" t="n">
        <v>3</v>
      </c>
      <c r="N28" s="16" t="n">
        <f aca="false">H28*Parameters!$B$6/60</f>
        <v>1.60941666666667</v>
      </c>
      <c r="O28" s="18" t="n">
        <f aca="false">IF(G28=0,0,H28/G28)</f>
        <v>4.96810207336523</v>
      </c>
      <c r="P28" s="18" t="n">
        <f aca="false">IF(N28=0,0,Parameters!$B$8/N28)</f>
        <v>29.2031274271216</v>
      </c>
      <c r="Q28" s="28" t="n">
        <f aca="false">N28/Parameters!$B$8</f>
        <v>0.0342429078014184</v>
      </c>
    </row>
    <row r="29" customFormat="false" ht="15" hidden="false" customHeight="true" outlineLevel="0" collapsed="false">
      <c r="A29" s="13" t="s">
        <v>197</v>
      </c>
      <c r="B29" s="13" t="n">
        <v>3</v>
      </c>
      <c r="C29" s="13" t="n">
        <v>20</v>
      </c>
      <c r="D29" s="13" t="s">
        <v>137</v>
      </c>
      <c r="E29" s="13" t="n">
        <v>2</v>
      </c>
      <c r="F29" s="18" t="n">
        <v>100</v>
      </c>
      <c r="G29" s="13" t="n">
        <v>11.03</v>
      </c>
      <c r="H29" s="13" t="n">
        <v>60</v>
      </c>
      <c r="I29" s="13" t="n">
        <v>18.66</v>
      </c>
      <c r="J29" s="13" t="n">
        <v>0</v>
      </c>
      <c r="K29" s="13" t="n">
        <v>3</v>
      </c>
      <c r="L29" s="13" t="n">
        <v>192</v>
      </c>
      <c r="M29" s="13" t="n">
        <v>3</v>
      </c>
      <c r="N29" s="16" t="n">
        <f aca="false">H29*Parameters!$B$6/60</f>
        <v>1.55</v>
      </c>
      <c r="O29" s="18" t="n">
        <f aca="false">IF(G29=0,0,H29/G29)</f>
        <v>5.43970988213962</v>
      </c>
      <c r="P29" s="18" t="n">
        <f aca="false">IF(N29=0,0,Parameters!$B$8/N29)</f>
        <v>30.3225806451613</v>
      </c>
      <c r="Q29" s="28" t="n">
        <f aca="false">N29/Parameters!$B$8</f>
        <v>0.0329787234042553</v>
      </c>
    </row>
    <row r="30" customFormat="false" ht="15" hidden="false" customHeight="true" outlineLevel="0" collapsed="false">
      <c r="A30" s="13" t="s">
        <v>197</v>
      </c>
      <c r="B30" s="13" t="n">
        <v>3</v>
      </c>
      <c r="C30" s="13" t="n">
        <v>20</v>
      </c>
      <c r="D30" s="13" t="s">
        <v>137</v>
      </c>
      <c r="E30" s="13" t="n">
        <v>3</v>
      </c>
      <c r="F30" s="18" t="n">
        <v>100</v>
      </c>
      <c r="G30" s="13" t="n">
        <v>10.95</v>
      </c>
      <c r="H30" s="13" t="n">
        <v>58.6</v>
      </c>
      <c r="I30" s="13" t="n">
        <v>17.58</v>
      </c>
      <c r="J30" s="13" t="n">
        <v>0</v>
      </c>
      <c r="K30" s="13" t="n">
        <v>3</v>
      </c>
      <c r="L30" s="13" t="n">
        <v>182</v>
      </c>
      <c r="M30" s="13" t="n">
        <v>3</v>
      </c>
      <c r="N30" s="16" t="n">
        <f aca="false">H30*Parameters!$B$6/60</f>
        <v>1.51383333333333</v>
      </c>
      <c r="O30" s="18" t="n">
        <f aca="false">IF(G30=0,0,H30/G30)</f>
        <v>5.35159817351598</v>
      </c>
      <c r="P30" s="18" t="n">
        <f aca="false">IF(N30=0,0,Parameters!$B$8/N30)</f>
        <v>31.0470108994826</v>
      </c>
      <c r="Q30" s="28" t="n">
        <f aca="false">N30/Parameters!$B$8</f>
        <v>0.032209219858156</v>
      </c>
    </row>
    <row r="31" customFormat="false" ht="15" hidden="false" customHeight="true" outlineLevel="0" collapsed="false">
      <c r="A31" s="13" t="s">
        <v>197</v>
      </c>
      <c r="B31" s="13" t="n">
        <v>3</v>
      </c>
      <c r="C31" s="13" t="n">
        <v>20</v>
      </c>
      <c r="D31" s="13" t="s">
        <v>137</v>
      </c>
      <c r="E31" s="13" t="n">
        <v>4</v>
      </c>
      <c r="F31" s="18" t="n">
        <v>100</v>
      </c>
      <c r="G31" s="13" t="n">
        <v>10.02</v>
      </c>
      <c r="H31" s="13" t="n">
        <v>51.6</v>
      </c>
      <c r="I31" s="13" t="n">
        <v>16.43</v>
      </c>
      <c r="J31" s="13" t="n">
        <v>0</v>
      </c>
      <c r="K31" s="13" t="n">
        <v>3</v>
      </c>
      <c r="L31" s="13" t="n">
        <v>157</v>
      </c>
      <c r="M31" s="13" t="n">
        <v>3</v>
      </c>
      <c r="N31" s="16" t="n">
        <f aca="false">H31*Parameters!$B$6/60</f>
        <v>1.333</v>
      </c>
      <c r="O31" s="18" t="n">
        <f aca="false">IF(G31=0,0,H31/G31)</f>
        <v>5.1497005988024</v>
      </c>
      <c r="P31" s="18" t="n">
        <f aca="false">IF(N31=0,0,Parameters!$B$8/N31)</f>
        <v>35.2588147036759</v>
      </c>
      <c r="Q31" s="28" t="n">
        <f aca="false">N31/Parameters!$B$8</f>
        <v>0.0283617021276596</v>
      </c>
    </row>
    <row r="32" customFormat="false" ht="15" hidden="false" customHeight="true" outlineLevel="0" collapsed="false">
      <c r="A32" s="13" t="s">
        <v>197</v>
      </c>
      <c r="B32" s="13" t="n">
        <v>6</v>
      </c>
      <c r="C32" s="13" t="n">
        <v>6</v>
      </c>
      <c r="D32" s="13" t="s">
        <v>134</v>
      </c>
      <c r="E32" s="13" t="n">
        <v>0</v>
      </c>
      <c r="F32" s="18" t="n">
        <v>100</v>
      </c>
      <c r="G32" s="13" t="n">
        <v>6.67</v>
      </c>
      <c r="H32" s="13" t="n">
        <v>31.9</v>
      </c>
      <c r="I32" s="13" t="n">
        <v>7.29</v>
      </c>
      <c r="J32" s="13" t="n">
        <v>0</v>
      </c>
      <c r="K32" s="13" t="n">
        <v>0</v>
      </c>
      <c r="L32" s="13" t="n">
        <v>90</v>
      </c>
      <c r="M32" s="13" t="n">
        <v>6</v>
      </c>
      <c r="N32" s="16" t="n">
        <f aca="false">H32*Parameters!$B$6/60</f>
        <v>0.824083333333333</v>
      </c>
      <c r="O32" s="18" t="n">
        <f aca="false">IF(G32=0,0,H32/G32)</f>
        <v>4.78260869565217</v>
      </c>
      <c r="P32" s="18" t="n">
        <f aca="false">IF(N32=0,0,Parameters!$B$8/N32)</f>
        <v>57.0330670441905</v>
      </c>
      <c r="Q32" s="28" t="n">
        <f aca="false">N32/Parameters!$B$8</f>
        <v>0.0175336879432624</v>
      </c>
    </row>
    <row r="33" customFormat="false" ht="15" hidden="false" customHeight="true" outlineLevel="0" collapsed="false">
      <c r="A33" s="13" t="s">
        <v>197</v>
      </c>
      <c r="B33" s="13" t="n">
        <v>6</v>
      </c>
      <c r="C33" s="13" t="n">
        <v>6</v>
      </c>
      <c r="D33" s="13" t="s">
        <v>135</v>
      </c>
      <c r="E33" s="13" t="n">
        <v>2</v>
      </c>
      <c r="F33" s="18" t="n">
        <v>100</v>
      </c>
      <c r="G33" s="13" t="n">
        <v>6.29</v>
      </c>
      <c r="H33" s="13" t="n">
        <v>30.2</v>
      </c>
      <c r="I33" s="13" t="n">
        <v>7.29</v>
      </c>
      <c r="J33" s="13" t="n">
        <v>7.29</v>
      </c>
      <c r="K33" s="13" t="n">
        <v>0</v>
      </c>
      <c r="L33" s="13" t="n">
        <v>90</v>
      </c>
      <c r="M33" s="13" t="n">
        <v>6</v>
      </c>
      <c r="N33" s="16" t="n">
        <f aca="false">H33*Parameters!$B$6/60</f>
        <v>0.780166666666667</v>
      </c>
      <c r="O33" s="18" t="n">
        <f aca="false">IF(G33=0,0,H33/G33)</f>
        <v>4.80127186009539</v>
      </c>
      <c r="P33" s="18" t="n">
        <f aca="false">IF(N33=0,0,Parameters!$B$8/N33)</f>
        <v>60.2435377056185</v>
      </c>
      <c r="Q33" s="28" t="n">
        <f aca="false">N33/Parameters!$B$8</f>
        <v>0.0165992907801418</v>
      </c>
    </row>
    <row r="34" customFormat="false" ht="15" hidden="false" customHeight="true" outlineLevel="0" collapsed="false">
      <c r="A34" s="13" t="s">
        <v>197</v>
      </c>
      <c r="B34" s="13" t="n">
        <v>6</v>
      </c>
      <c r="C34" s="13" t="n">
        <v>6</v>
      </c>
      <c r="D34" s="13" t="s">
        <v>135</v>
      </c>
      <c r="E34" s="13" t="n">
        <v>3</v>
      </c>
      <c r="F34" s="18" t="n">
        <v>100</v>
      </c>
      <c r="G34" s="13" t="n">
        <v>6.05</v>
      </c>
      <c r="H34" s="13" t="n">
        <v>28.5</v>
      </c>
      <c r="I34" s="13" t="n">
        <v>7.29</v>
      </c>
      <c r="J34" s="13" t="n">
        <v>14.58</v>
      </c>
      <c r="K34" s="13" t="n">
        <v>0</v>
      </c>
      <c r="L34" s="13" t="n">
        <v>90</v>
      </c>
      <c r="M34" s="13" t="n">
        <v>6</v>
      </c>
      <c r="N34" s="16" t="n">
        <f aca="false">H34*Parameters!$B$6/60</f>
        <v>0.73625</v>
      </c>
      <c r="O34" s="18" t="n">
        <f aca="false">IF(G34=0,0,H34/G34)</f>
        <v>4.71074380165289</v>
      </c>
      <c r="P34" s="18" t="n">
        <f aca="false">IF(N34=0,0,Parameters!$B$8/N34)</f>
        <v>63.8370118845501</v>
      </c>
      <c r="Q34" s="28" t="n">
        <f aca="false">N34/Parameters!$B$8</f>
        <v>0.0156648936170213</v>
      </c>
    </row>
    <row r="35" customFormat="false" ht="15" hidden="false" customHeight="true" outlineLevel="0" collapsed="false">
      <c r="A35" s="13" t="s">
        <v>197</v>
      </c>
      <c r="B35" s="13" t="n">
        <v>6</v>
      </c>
      <c r="C35" s="13" t="n">
        <v>6</v>
      </c>
      <c r="D35" s="13" t="s">
        <v>135</v>
      </c>
      <c r="E35" s="13" t="n">
        <v>4</v>
      </c>
      <c r="F35" s="18" t="n">
        <v>100</v>
      </c>
      <c r="G35" s="13" t="n">
        <v>5.44</v>
      </c>
      <c r="H35" s="13" t="n">
        <v>26.1</v>
      </c>
      <c r="I35" s="13" t="n">
        <v>7</v>
      </c>
      <c r="J35" s="13" t="n">
        <v>21</v>
      </c>
      <c r="K35" s="13" t="n">
        <v>0</v>
      </c>
      <c r="L35" s="13" t="n">
        <v>87</v>
      </c>
      <c r="M35" s="13" t="n">
        <v>6</v>
      </c>
      <c r="N35" s="16" t="n">
        <f aca="false">H35*Parameters!$B$6/60</f>
        <v>0.67425</v>
      </c>
      <c r="O35" s="18" t="n">
        <f aca="false">IF(G35=0,0,H35/G35)</f>
        <v>4.79779411764706</v>
      </c>
      <c r="P35" s="18" t="n">
        <f aca="false">IF(N35=0,0,Parameters!$B$8/N35)</f>
        <v>69.7070819428995</v>
      </c>
      <c r="Q35" s="28" t="n">
        <f aca="false">N35/Parameters!$B$8</f>
        <v>0.0143457446808511</v>
      </c>
    </row>
    <row r="36" customFormat="false" ht="15" hidden="false" customHeight="true" outlineLevel="0" collapsed="false">
      <c r="A36" s="13" t="s">
        <v>197</v>
      </c>
      <c r="B36" s="13" t="n">
        <v>6</v>
      </c>
      <c r="C36" s="13" t="n">
        <v>6</v>
      </c>
      <c r="D36" s="13" t="s">
        <v>136</v>
      </c>
      <c r="E36" s="13" t="n">
        <v>2</v>
      </c>
      <c r="F36" s="18" t="n">
        <v>100</v>
      </c>
      <c r="G36" s="13" t="n">
        <v>5.13</v>
      </c>
      <c r="H36" s="13" t="n">
        <v>24.6</v>
      </c>
      <c r="I36" s="13" t="n">
        <v>7.53</v>
      </c>
      <c r="J36" s="13" t="n">
        <v>0</v>
      </c>
      <c r="K36" s="13" t="n">
        <v>0</v>
      </c>
      <c r="L36" s="13" t="n">
        <v>50</v>
      </c>
      <c r="M36" s="13" t="n">
        <v>6</v>
      </c>
      <c r="N36" s="16" t="n">
        <f aca="false">H36*Parameters!$B$6/60</f>
        <v>0.6355</v>
      </c>
      <c r="O36" s="18" t="n">
        <f aca="false">IF(G36=0,0,H36/G36)</f>
        <v>4.7953216374269</v>
      </c>
      <c r="P36" s="18" t="n">
        <f aca="false">IF(N36=0,0,Parameters!$B$8/N36)</f>
        <v>73.9575137686861</v>
      </c>
      <c r="Q36" s="28" t="n">
        <f aca="false">N36/Parameters!$B$8</f>
        <v>0.0135212765957447</v>
      </c>
    </row>
    <row r="37" customFormat="false" ht="15" hidden="false" customHeight="true" outlineLevel="0" collapsed="false">
      <c r="A37" s="13" t="s">
        <v>197</v>
      </c>
      <c r="B37" s="13" t="n">
        <v>6</v>
      </c>
      <c r="C37" s="13" t="n">
        <v>6</v>
      </c>
      <c r="D37" s="13" t="s">
        <v>136</v>
      </c>
      <c r="E37" s="13" t="n">
        <v>3</v>
      </c>
      <c r="F37" s="18" t="n">
        <v>100</v>
      </c>
      <c r="G37" s="13" t="n">
        <v>5.02</v>
      </c>
      <c r="H37" s="13" t="n">
        <v>24.2</v>
      </c>
      <c r="I37" s="13" t="n">
        <v>7.7</v>
      </c>
      <c r="J37" s="13" t="n">
        <v>0</v>
      </c>
      <c r="K37" s="13" t="n">
        <v>0</v>
      </c>
      <c r="L37" s="13" t="n">
        <v>49</v>
      </c>
      <c r="M37" s="13" t="n">
        <v>6</v>
      </c>
      <c r="N37" s="16" t="n">
        <f aca="false">H37*Parameters!$B$6/60</f>
        <v>0.625166666666667</v>
      </c>
      <c r="O37" s="18" t="n">
        <f aca="false">IF(G37=0,0,H37/G37)</f>
        <v>4.8207171314741</v>
      </c>
      <c r="P37" s="18" t="n">
        <f aca="false">IF(N37=0,0,Parameters!$B$8/N37)</f>
        <v>75.1799520127966</v>
      </c>
      <c r="Q37" s="28" t="n">
        <f aca="false">N37/Parameters!$B$8</f>
        <v>0.0133014184397163</v>
      </c>
    </row>
    <row r="38" customFormat="false" ht="15" hidden="false" customHeight="true" outlineLevel="0" collapsed="false">
      <c r="A38" s="13" t="s">
        <v>197</v>
      </c>
      <c r="B38" s="13" t="n">
        <v>6</v>
      </c>
      <c r="C38" s="13" t="n">
        <v>6</v>
      </c>
      <c r="D38" s="13" t="s">
        <v>136</v>
      </c>
      <c r="E38" s="13" t="n">
        <v>4</v>
      </c>
      <c r="F38" s="18" t="n">
        <v>100</v>
      </c>
      <c r="G38" s="13" t="n">
        <v>5.02</v>
      </c>
      <c r="H38" s="13" t="n">
        <v>24.1</v>
      </c>
      <c r="I38" s="13" t="n">
        <v>7.7</v>
      </c>
      <c r="J38" s="13" t="n">
        <v>0</v>
      </c>
      <c r="K38" s="13" t="n">
        <v>0</v>
      </c>
      <c r="L38" s="13" t="n">
        <v>48</v>
      </c>
      <c r="M38" s="13" t="n">
        <v>6</v>
      </c>
      <c r="N38" s="16" t="n">
        <f aca="false">H38*Parameters!$B$6/60</f>
        <v>0.622583333333333</v>
      </c>
      <c r="O38" s="18" t="n">
        <f aca="false">IF(G38=0,0,H38/G38)</f>
        <v>4.80079681274901</v>
      </c>
      <c r="P38" s="18" t="n">
        <f aca="false">IF(N38=0,0,Parameters!$B$8/N38)</f>
        <v>75.4919020211484</v>
      </c>
      <c r="Q38" s="28" t="n">
        <f aca="false">N38/Parameters!$B$8</f>
        <v>0.0132464539007092</v>
      </c>
    </row>
    <row r="39" customFormat="false" ht="15" hidden="false" customHeight="true" outlineLevel="0" collapsed="false">
      <c r="A39" s="13" t="s">
        <v>197</v>
      </c>
      <c r="B39" s="13" t="n">
        <v>6</v>
      </c>
      <c r="C39" s="13" t="n">
        <v>6</v>
      </c>
      <c r="D39" s="13" t="s">
        <v>137</v>
      </c>
      <c r="E39" s="13" t="n">
        <v>2</v>
      </c>
      <c r="F39" s="18" t="n">
        <v>100</v>
      </c>
      <c r="G39" s="13" t="n">
        <v>3</v>
      </c>
      <c r="H39" s="13" t="n">
        <v>16.2</v>
      </c>
      <c r="I39" s="13" t="n">
        <v>4</v>
      </c>
      <c r="J39" s="13" t="n">
        <v>0</v>
      </c>
      <c r="K39" s="13" t="n">
        <v>3</v>
      </c>
      <c r="L39" s="13" t="n">
        <v>57</v>
      </c>
      <c r="M39" s="13" t="n">
        <v>6</v>
      </c>
      <c r="N39" s="16" t="n">
        <f aca="false">H39*Parameters!$B$6/60</f>
        <v>0.4185</v>
      </c>
      <c r="O39" s="18" t="n">
        <f aca="false">IF(G39=0,0,H39/G39)</f>
        <v>5.4</v>
      </c>
      <c r="P39" s="18" t="n">
        <f aca="false">IF(N39=0,0,Parameters!$B$8/N39)</f>
        <v>112.305854241338</v>
      </c>
      <c r="Q39" s="28" t="n">
        <f aca="false">N39/Parameters!$B$8</f>
        <v>0.00890425531914894</v>
      </c>
    </row>
    <row r="40" customFormat="false" ht="15" hidden="false" customHeight="true" outlineLevel="0" collapsed="false">
      <c r="A40" s="13" t="s">
        <v>197</v>
      </c>
      <c r="B40" s="13" t="n">
        <v>6</v>
      </c>
      <c r="C40" s="13" t="n">
        <v>6</v>
      </c>
      <c r="D40" s="13" t="s">
        <v>137</v>
      </c>
      <c r="E40" s="13" t="n">
        <v>3</v>
      </c>
      <c r="F40" s="18" t="n">
        <v>100</v>
      </c>
      <c r="G40" s="13" t="n">
        <v>3</v>
      </c>
      <c r="H40" s="13" t="n">
        <v>16.3</v>
      </c>
      <c r="I40" s="13" t="n">
        <v>4</v>
      </c>
      <c r="J40" s="13" t="n">
        <v>0</v>
      </c>
      <c r="K40" s="13" t="n">
        <v>3</v>
      </c>
      <c r="L40" s="13" t="n">
        <v>58</v>
      </c>
      <c r="M40" s="13" t="n">
        <v>6</v>
      </c>
      <c r="N40" s="16" t="n">
        <f aca="false">H40*Parameters!$B$6/60</f>
        <v>0.421083333333333</v>
      </c>
      <c r="O40" s="18" t="n">
        <f aca="false">IF(G40=0,0,H40/G40)</f>
        <v>5.43333333333333</v>
      </c>
      <c r="P40" s="18" t="n">
        <f aca="false">IF(N40=0,0,Parameters!$B$8/N40)</f>
        <v>111.616861270532</v>
      </c>
      <c r="Q40" s="28" t="n">
        <f aca="false">N40/Parameters!$B$8</f>
        <v>0.00895921985815603</v>
      </c>
    </row>
    <row r="41" customFormat="false" ht="15" hidden="false" customHeight="true" outlineLevel="0" collapsed="false">
      <c r="A41" s="13" t="s">
        <v>197</v>
      </c>
      <c r="B41" s="13" t="n">
        <v>6</v>
      </c>
      <c r="C41" s="13" t="n">
        <v>6</v>
      </c>
      <c r="D41" s="13" t="s">
        <v>137</v>
      </c>
      <c r="E41" s="13" t="n">
        <v>4</v>
      </c>
      <c r="F41" s="18" t="n">
        <v>100</v>
      </c>
      <c r="G41" s="13" t="n">
        <v>3</v>
      </c>
      <c r="H41" s="13" t="n">
        <v>15.3</v>
      </c>
      <c r="I41" s="13" t="n">
        <v>4</v>
      </c>
      <c r="J41" s="13" t="n">
        <v>0</v>
      </c>
      <c r="K41" s="13" t="n">
        <v>2</v>
      </c>
      <c r="L41" s="13" t="n">
        <v>58</v>
      </c>
      <c r="M41" s="13" t="n">
        <v>6</v>
      </c>
      <c r="N41" s="16" t="n">
        <f aca="false">H41*Parameters!$B$6/60</f>
        <v>0.39525</v>
      </c>
      <c r="O41" s="18" t="n">
        <f aca="false">IF(G41=0,0,H41/G41)</f>
        <v>5.1</v>
      </c>
      <c r="P41" s="18" t="n">
        <f aca="false">IF(N41=0,0,Parameters!$B$8/N41)</f>
        <v>118.912080961417</v>
      </c>
      <c r="Q41" s="28" t="n">
        <f aca="false">N41/Parameters!$B$8</f>
        <v>0.00840957446808511</v>
      </c>
    </row>
    <row r="42" customFormat="false" ht="15" hidden="false" customHeight="true" outlineLevel="0" collapsed="false">
      <c r="A42" s="13" t="s">
        <v>197</v>
      </c>
      <c r="B42" s="13" t="n">
        <v>6</v>
      </c>
      <c r="C42" s="13" t="n">
        <v>12</v>
      </c>
      <c r="D42" s="13" t="s">
        <v>134</v>
      </c>
      <c r="E42" s="13" t="n">
        <v>0</v>
      </c>
      <c r="F42" s="18" t="n">
        <v>100</v>
      </c>
      <c r="G42" s="13" t="n">
        <v>8.76</v>
      </c>
      <c r="H42" s="13" t="n">
        <v>48.4</v>
      </c>
      <c r="I42" s="13" t="n">
        <v>15.46</v>
      </c>
      <c r="J42" s="13" t="n">
        <v>0</v>
      </c>
      <c r="K42" s="13" t="n">
        <v>0</v>
      </c>
      <c r="L42" s="13" t="n">
        <v>204</v>
      </c>
      <c r="M42" s="13" t="n">
        <v>6</v>
      </c>
      <c r="N42" s="16" t="n">
        <f aca="false">H42*Parameters!$B$6/60</f>
        <v>1.25033333333333</v>
      </c>
      <c r="O42" s="18" t="n">
        <f aca="false">IF(G42=0,0,H42/G42)</f>
        <v>5.52511415525114</v>
      </c>
      <c r="P42" s="18" t="n">
        <f aca="false">IF(N42=0,0,Parameters!$B$8/N42)</f>
        <v>37.5899760063983</v>
      </c>
      <c r="Q42" s="28" t="n">
        <f aca="false">N42/Parameters!$B$8</f>
        <v>0.0266028368794326</v>
      </c>
    </row>
    <row r="43" customFormat="false" ht="15" hidden="false" customHeight="true" outlineLevel="0" collapsed="false">
      <c r="A43" s="13" t="s">
        <v>197</v>
      </c>
      <c r="B43" s="13" t="n">
        <v>6</v>
      </c>
      <c r="C43" s="13" t="n">
        <v>12</v>
      </c>
      <c r="D43" s="13" t="s">
        <v>135</v>
      </c>
      <c r="E43" s="13" t="n">
        <v>2</v>
      </c>
      <c r="F43" s="18" t="n">
        <v>100</v>
      </c>
      <c r="G43" s="13" t="n">
        <v>7.74</v>
      </c>
      <c r="H43" s="13" t="n">
        <v>45.7</v>
      </c>
      <c r="I43" s="13" t="n">
        <v>15.3</v>
      </c>
      <c r="J43" s="13" t="n">
        <v>15.3</v>
      </c>
      <c r="K43" s="13" t="n">
        <v>0</v>
      </c>
      <c r="L43" s="13" t="n">
        <v>200</v>
      </c>
      <c r="M43" s="13" t="n">
        <v>6</v>
      </c>
      <c r="N43" s="16" t="n">
        <f aca="false">H43*Parameters!$B$6/60</f>
        <v>1.18058333333333</v>
      </c>
      <c r="O43" s="18" t="n">
        <f aca="false">IF(G43=0,0,H43/G43)</f>
        <v>5.90439276485788</v>
      </c>
      <c r="P43" s="18" t="n">
        <f aca="false">IF(N43=0,0,Parameters!$B$8/N43)</f>
        <v>39.8108279805181</v>
      </c>
      <c r="Q43" s="28" t="n">
        <f aca="false">N43/Parameters!$B$8</f>
        <v>0.0251187943262411</v>
      </c>
    </row>
    <row r="44" customFormat="false" ht="15" hidden="false" customHeight="true" outlineLevel="0" collapsed="false">
      <c r="A44" s="13" t="s">
        <v>197</v>
      </c>
      <c r="B44" s="13" t="n">
        <v>6</v>
      </c>
      <c r="C44" s="13" t="n">
        <v>12</v>
      </c>
      <c r="D44" s="13" t="s">
        <v>135</v>
      </c>
      <c r="E44" s="13" t="n">
        <v>3</v>
      </c>
      <c r="F44" s="18" t="n">
        <v>100</v>
      </c>
      <c r="G44" s="13" t="n">
        <v>6.75</v>
      </c>
      <c r="H44" s="13" t="n">
        <v>40.9</v>
      </c>
      <c r="I44" s="13" t="n">
        <v>13.71</v>
      </c>
      <c r="J44" s="13" t="n">
        <v>27.42</v>
      </c>
      <c r="K44" s="13" t="n">
        <v>0</v>
      </c>
      <c r="L44" s="13" t="n">
        <v>180</v>
      </c>
      <c r="M44" s="13" t="n">
        <v>6</v>
      </c>
      <c r="N44" s="16" t="n">
        <f aca="false">H44*Parameters!$B$6/60</f>
        <v>1.05658333333333</v>
      </c>
      <c r="O44" s="18" t="n">
        <f aca="false">IF(G44=0,0,H44/G44)</f>
        <v>6.05925925925926</v>
      </c>
      <c r="P44" s="18" t="n">
        <f aca="false">IF(N44=0,0,Parameters!$B$8/N44)</f>
        <v>44.4830033914347</v>
      </c>
      <c r="Q44" s="28" t="n">
        <f aca="false">N44/Parameters!$B$8</f>
        <v>0.0224804964539007</v>
      </c>
    </row>
    <row r="45" customFormat="false" ht="15" hidden="false" customHeight="true" outlineLevel="0" collapsed="false">
      <c r="A45" s="13" t="s">
        <v>197</v>
      </c>
      <c r="B45" s="13" t="n">
        <v>6</v>
      </c>
      <c r="C45" s="13" t="n">
        <v>12</v>
      </c>
      <c r="D45" s="13" t="s">
        <v>135</v>
      </c>
      <c r="E45" s="13" t="n">
        <v>4</v>
      </c>
      <c r="F45" s="18" t="n">
        <v>100</v>
      </c>
      <c r="G45" s="13" t="n">
        <v>6.42</v>
      </c>
      <c r="H45" s="13" t="n">
        <v>36.9</v>
      </c>
      <c r="I45" s="13" t="n">
        <v>13.48</v>
      </c>
      <c r="J45" s="13" t="n">
        <v>40.42</v>
      </c>
      <c r="K45" s="13" t="n">
        <v>0</v>
      </c>
      <c r="L45" s="13" t="n">
        <v>174</v>
      </c>
      <c r="M45" s="13" t="n">
        <v>6</v>
      </c>
      <c r="N45" s="16" t="n">
        <f aca="false">H45*Parameters!$B$6/60</f>
        <v>0.95325</v>
      </c>
      <c r="O45" s="18" t="n">
        <f aca="false">IF(G45=0,0,H45/G45)</f>
        <v>5.74766355140187</v>
      </c>
      <c r="P45" s="18" t="n">
        <f aca="false">IF(N45=0,0,Parameters!$B$8/N45)</f>
        <v>49.3050091791241</v>
      </c>
      <c r="Q45" s="28" t="n">
        <f aca="false">N45/Parameters!$B$8</f>
        <v>0.020281914893617</v>
      </c>
    </row>
    <row r="46" customFormat="false" ht="15" hidden="false" customHeight="true" outlineLevel="0" collapsed="false">
      <c r="A46" s="13" t="s">
        <v>197</v>
      </c>
      <c r="B46" s="13" t="n">
        <v>6</v>
      </c>
      <c r="C46" s="13" t="n">
        <v>12</v>
      </c>
      <c r="D46" s="13" t="s">
        <v>136</v>
      </c>
      <c r="E46" s="13" t="n">
        <v>2</v>
      </c>
      <c r="F46" s="18" t="n">
        <v>100</v>
      </c>
      <c r="G46" s="13" t="n">
        <v>7.22</v>
      </c>
      <c r="H46" s="13" t="n">
        <v>40.1</v>
      </c>
      <c r="I46" s="13" t="n">
        <v>17.62</v>
      </c>
      <c r="J46" s="13" t="n">
        <v>0</v>
      </c>
      <c r="K46" s="13" t="n">
        <v>0</v>
      </c>
      <c r="L46" s="13" t="n">
        <v>85</v>
      </c>
      <c r="M46" s="13" t="n">
        <v>6</v>
      </c>
      <c r="N46" s="16" t="n">
        <f aca="false">H46*Parameters!$B$6/60</f>
        <v>1.03591666666667</v>
      </c>
      <c r="O46" s="18" t="n">
        <f aca="false">IF(G46=0,0,H46/G46)</f>
        <v>5.55401662049862</v>
      </c>
      <c r="P46" s="18" t="n">
        <f aca="false">IF(N46=0,0,Parameters!$B$8/N46)</f>
        <v>45.3704448556029</v>
      </c>
      <c r="Q46" s="28" t="n">
        <f aca="false">N46/Parameters!$B$8</f>
        <v>0.022040780141844</v>
      </c>
    </row>
    <row r="47" customFormat="false" ht="15" hidden="false" customHeight="true" outlineLevel="0" collapsed="false">
      <c r="A47" s="13" t="s">
        <v>197</v>
      </c>
      <c r="B47" s="13" t="n">
        <v>6</v>
      </c>
      <c r="C47" s="13" t="n">
        <v>12</v>
      </c>
      <c r="D47" s="13" t="s">
        <v>136</v>
      </c>
      <c r="E47" s="13" t="n">
        <v>3</v>
      </c>
      <c r="F47" s="18" t="n">
        <v>100</v>
      </c>
      <c r="G47" s="13" t="n">
        <v>7.12</v>
      </c>
      <c r="H47" s="13" t="n">
        <v>39.1</v>
      </c>
      <c r="I47" s="13" t="n">
        <v>17.62</v>
      </c>
      <c r="J47" s="13" t="n">
        <v>0</v>
      </c>
      <c r="K47" s="13" t="n">
        <v>0</v>
      </c>
      <c r="L47" s="13" t="n">
        <v>81</v>
      </c>
      <c r="M47" s="13" t="n">
        <v>6</v>
      </c>
      <c r="N47" s="16" t="n">
        <f aca="false">H47*Parameters!$B$6/60</f>
        <v>1.01008333333333</v>
      </c>
      <c r="O47" s="18" t="n">
        <f aca="false">IF(G47=0,0,H47/G47)</f>
        <v>5.49157303370787</v>
      </c>
      <c r="P47" s="18" t="n">
        <f aca="false">IF(N47=0,0,Parameters!$B$8/N47)</f>
        <v>46.5308142892501</v>
      </c>
      <c r="Q47" s="28" t="n">
        <f aca="false">N47/Parameters!$B$8</f>
        <v>0.0214911347517731</v>
      </c>
    </row>
    <row r="48" customFormat="false" ht="15" hidden="false" customHeight="true" outlineLevel="0" collapsed="false">
      <c r="A48" s="13" t="s">
        <v>197</v>
      </c>
      <c r="B48" s="13" t="n">
        <v>6</v>
      </c>
      <c r="C48" s="13" t="n">
        <v>12</v>
      </c>
      <c r="D48" s="13" t="s">
        <v>136</v>
      </c>
      <c r="E48" s="13" t="n">
        <v>4</v>
      </c>
      <c r="F48" s="18" t="n">
        <v>100</v>
      </c>
      <c r="G48" s="13" t="n">
        <v>7.18</v>
      </c>
      <c r="H48" s="13" t="n">
        <v>38.9</v>
      </c>
      <c r="I48" s="13" t="n">
        <v>17.41</v>
      </c>
      <c r="J48" s="13" t="n">
        <v>0</v>
      </c>
      <c r="K48" s="13" t="n">
        <v>0</v>
      </c>
      <c r="L48" s="13" t="n">
        <v>81</v>
      </c>
      <c r="M48" s="13" t="n">
        <v>6</v>
      </c>
      <c r="N48" s="16" t="n">
        <f aca="false">H48*Parameters!$B$6/60</f>
        <v>1.00491666666667</v>
      </c>
      <c r="O48" s="18" t="n">
        <f aca="false">IF(G48=0,0,H48/G48)</f>
        <v>5.41782729805014</v>
      </c>
      <c r="P48" s="18" t="n">
        <f aca="false">IF(N48=0,0,Parameters!$B$8/N48)</f>
        <v>46.770047267601</v>
      </c>
      <c r="Q48" s="28" t="n">
        <f aca="false">N48/Parameters!$B$8</f>
        <v>0.0213812056737589</v>
      </c>
    </row>
    <row r="49" customFormat="false" ht="15" hidden="false" customHeight="true" outlineLevel="0" collapsed="false">
      <c r="A49" s="13" t="s">
        <v>197</v>
      </c>
      <c r="B49" s="13" t="n">
        <v>6</v>
      </c>
      <c r="C49" s="13" t="n">
        <v>12</v>
      </c>
      <c r="D49" s="13" t="s">
        <v>137</v>
      </c>
      <c r="E49" s="13" t="n">
        <v>2</v>
      </c>
      <c r="F49" s="18" t="n">
        <v>100</v>
      </c>
      <c r="G49" s="13" t="n">
        <v>4.4</v>
      </c>
      <c r="H49" s="13" t="n">
        <v>24.8</v>
      </c>
      <c r="I49" s="13" t="n">
        <v>9.44</v>
      </c>
      <c r="J49" s="13" t="n">
        <v>0</v>
      </c>
      <c r="K49" s="13" t="n">
        <v>3</v>
      </c>
      <c r="L49" s="13" t="n">
        <v>109</v>
      </c>
      <c r="M49" s="13" t="n">
        <v>6</v>
      </c>
      <c r="N49" s="16" t="n">
        <f aca="false">H49*Parameters!$B$6/60</f>
        <v>0.640666666666667</v>
      </c>
      <c r="O49" s="18" t="n">
        <f aca="false">IF(G49=0,0,H49/G49)</f>
        <v>5.63636363636364</v>
      </c>
      <c r="P49" s="18" t="n">
        <f aca="false">IF(N49=0,0,Parameters!$B$8/N49)</f>
        <v>73.3610822060354</v>
      </c>
      <c r="Q49" s="28" t="n">
        <f aca="false">N49/Parameters!$B$8</f>
        <v>0.0136312056737589</v>
      </c>
    </row>
    <row r="50" customFormat="false" ht="15" hidden="false" customHeight="true" outlineLevel="0" collapsed="false">
      <c r="A50" s="13" t="s">
        <v>197</v>
      </c>
      <c r="B50" s="13" t="n">
        <v>6</v>
      </c>
      <c r="C50" s="13" t="n">
        <v>12</v>
      </c>
      <c r="D50" s="13" t="s">
        <v>137</v>
      </c>
      <c r="E50" s="13" t="n">
        <v>3</v>
      </c>
      <c r="F50" s="18" t="n">
        <v>100</v>
      </c>
      <c r="G50" s="13" t="n">
        <v>3.44</v>
      </c>
      <c r="H50" s="13" t="n">
        <v>21.6</v>
      </c>
      <c r="I50" s="13" t="n">
        <v>8</v>
      </c>
      <c r="J50" s="13" t="n">
        <v>0</v>
      </c>
      <c r="K50" s="13" t="n">
        <v>3</v>
      </c>
      <c r="L50" s="13" t="n">
        <v>101</v>
      </c>
      <c r="M50" s="13" t="n">
        <v>6</v>
      </c>
      <c r="N50" s="16" t="n">
        <f aca="false">H50*Parameters!$B$6/60</f>
        <v>0.558</v>
      </c>
      <c r="O50" s="18" t="n">
        <f aca="false">IF(G50=0,0,H50/G50)</f>
        <v>6.27906976744186</v>
      </c>
      <c r="P50" s="18" t="n">
        <f aca="false">IF(N50=0,0,Parameters!$B$8/N50)</f>
        <v>84.2293906810036</v>
      </c>
      <c r="Q50" s="28" t="n">
        <f aca="false">N50/Parameters!$B$8</f>
        <v>0.0118723404255319</v>
      </c>
    </row>
    <row r="51" customFormat="false" ht="15" hidden="false" customHeight="true" outlineLevel="0" collapsed="false">
      <c r="A51" s="13" t="s">
        <v>197</v>
      </c>
      <c r="B51" s="13" t="n">
        <v>6</v>
      </c>
      <c r="C51" s="13" t="n">
        <v>12</v>
      </c>
      <c r="D51" s="13" t="s">
        <v>137</v>
      </c>
      <c r="E51" s="13" t="n">
        <v>4</v>
      </c>
      <c r="F51" s="18" t="n">
        <v>100</v>
      </c>
      <c r="G51" s="13" t="n">
        <v>3</v>
      </c>
      <c r="H51" s="13" t="n">
        <v>20.5</v>
      </c>
      <c r="I51" s="13" t="n">
        <v>7</v>
      </c>
      <c r="J51" s="13" t="n">
        <v>0</v>
      </c>
      <c r="K51" s="13" t="n">
        <v>3</v>
      </c>
      <c r="L51" s="13" t="n">
        <v>99</v>
      </c>
      <c r="M51" s="13" t="n">
        <v>6</v>
      </c>
      <c r="N51" s="16" t="n">
        <f aca="false">H51*Parameters!$B$6/60</f>
        <v>0.529583333333333</v>
      </c>
      <c r="O51" s="18" t="n">
        <f aca="false">IF(G51=0,0,H51/G51)</f>
        <v>6.83333333333333</v>
      </c>
      <c r="P51" s="18" t="n">
        <f aca="false">IF(N51=0,0,Parameters!$B$8/N51)</f>
        <v>88.7490165224233</v>
      </c>
      <c r="Q51" s="28" t="n">
        <f aca="false">N51/Parameters!$B$8</f>
        <v>0.0112677304964539</v>
      </c>
    </row>
    <row r="52" customFormat="false" ht="15" hidden="false" customHeight="true" outlineLevel="0" collapsed="false">
      <c r="A52" s="13" t="s">
        <v>197</v>
      </c>
      <c r="B52" s="13" t="n">
        <v>6</v>
      </c>
      <c r="C52" s="13" t="n">
        <v>20</v>
      </c>
      <c r="D52" s="13" t="s">
        <v>134</v>
      </c>
      <c r="E52" s="13" t="n">
        <v>0</v>
      </c>
      <c r="F52" s="18" t="n">
        <v>91.2</v>
      </c>
      <c r="G52" s="13" t="n">
        <v>9.87</v>
      </c>
      <c r="H52" s="13" t="n">
        <v>64.8</v>
      </c>
      <c r="I52" s="13" t="n">
        <v>25</v>
      </c>
      <c r="J52" s="13" t="n">
        <v>0</v>
      </c>
      <c r="K52" s="13" t="n">
        <v>0</v>
      </c>
      <c r="L52" s="13" t="n">
        <v>353</v>
      </c>
      <c r="M52" s="13" t="n">
        <v>6</v>
      </c>
      <c r="N52" s="16" t="n">
        <f aca="false">H52*Parameters!$B$6/60</f>
        <v>1.674</v>
      </c>
      <c r="O52" s="18" t="n">
        <f aca="false">IF(G52=0,0,H52/G52)</f>
        <v>6.56534954407295</v>
      </c>
      <c r="P52" s="18" t="n">
        <f aca="false">IF(N52=0,0,Parameters!$B$8/N52)</f>
        <v>28.0764635603345</v>
      </c>
      <c r="Q52" s="28" t="n">
        <f aca="false">N52/Parameters!$B$8</f>
        <v>0.0356170212765957</v>
      </c>
    </row>
    <row r="53" customFormat="false" ht="15" hidden="false" customHeight="true" outlineLevel="0" collapsed="false">
      <c r="A53" s="13" t="s">
        <v>197</v>
      </c>
      <c r="B53" s="13" t="n">
        <v>6</v>
      </c>
      <c r="C53" s="13" t="n">
        <v>20</v>
      </c>
      <c r="D53" s="13" t="s">
        <v>135</v>
      </c>
      <c r="E53" s="13" t="n">
        <v>2</v>
      </c>
      <c r="F53" s="18" t="n">
        <v>96.8</v>
      </c>
      <c r="G53" s="13" t="n">
        <v>9.36</v>
      </c>
      <c r="H53" s="13" t="n">
        <v>60.7</v>
      </c>
      <c r="I53" s="13" t="n">
        <v>23.04</v>
      </c>
      <c r="J53" s="13" t="n">
        <v>23.02</v>
      </c>
      <c r="K53" s="13" t="n">
        <v>0</v>
      </c>
      <c r="L53" s="13" t="n">
        <v>321</v>
      </c>
      <c r="M53" s="13" t="n">
        <v>6</v>
      </c>
      <c r="N53" s="16" t="n">
        <f aca="false">H53*Parameters!$B$6/60</f>
        <v>1.56808333333333</v>
      </c>
      <c r="O53" s="18" t="n">
        <f aca="false">IF(G53=0,0,H53/G53)</f>
        <v>6.48504273504274</v>
      </c>
      <c r="P53" s="18" t="n">
        <f aca="false">IF(N53=0,0,Parameters!$B$8/N53)</f>
        <v>29.9728968485944</v>
      </c>
      <c r="Q53" s="28" t="n">
        <f aca="false">N53/Parameters!$B$8</f>
        <v>0.033363475177305</v>
      </c>
    </row>
    <row r="54" customFormat="false" ht="15" hidden="false" customHeight="true" outlineLevel="0" collapsed="false">
      <c r="A54" s="13" t="s">
        <v>197</v>
      </c>
      <c r="B54" s="13" t="n">
        <v>6</v>
      </c>
      <c r="C54" s="13" t="n">
        <v>20</v>
      </c>
      <c r="D54" s="13" t="s">
        <v>135</v>
      </c>
      <c r="E54" s="13" t="n">
        <v>3</v>
      </c>
      <c r="F54" s="18" t="n">
        <v>98.8</v>
      </c>
      <c r="G54" s="13" t="n">
        <v>8.04</v>
      </c>
      <c r="H54" s="13" t="n">
        <v>54.4</v>
      </c>
      <c r="I54" s="13" t="n">
        <v>23.48</v>
      </c>
      <c r="J54" s="13" t="n">
        <v>46.79</v>
      </c>
      <c r="K54" s="13" t="n">
        <v>0</v>
      </c>
      <c r="L54" s="13" t="n">
        <v>303</v>
      </c>
      <c r="M54" s="13" t="n">
        <v>6</v>
      </c>
      <c r="N54" s="16" t="n">
        <f aca="false">H54*Parameters!$B$6/60</f>
        <v>1.40533333333333</v>
      </c>
      <c r="O54" s="18" t="n">
        <f aca="false">IF(G54=0,0,H54/G54)</f>
        <v>6.76616915422886</v>
      </c>
      <c r="P54" s="18" t="n">
        <f aca="false">IF(N54=0,0,Parameters!$B$8/N54)</f>
        <v>33.4440227703985</v>
      </c>
      <c r="Q54" s="28" t="n">
        <f aca="false">N54/Parameters!$B$8</f>
        <v>0.0299007092198582</v>
      </c>
    </row>
    <row r="55" customFormat="false" ht="15" hidden="false" customHeight="true" outlineLevel="0" collapsed="false">
      <c r="A55" s="13" t="s">
        <v>197</v>
      </c>
      <c r="B55" s="13" t="n">
        <v>6</v>
      </c>
      <c r="C55" s="13" t="n">
        <v>20</v>
      </c>
      <c r="D55" s="13" t="s">
        <v>135</v>
      </c>
      <c r="E55" s="13" t="n">
        <v>4</v>
      </c>
      <c r="F55" s="18" t="n">
        <v>99.2</v>
      </c>
      <c r="G55" s="13" t="n">
        <v>7.38</v>
      </c>
      <c r="H55" s="13" t="n">
        <v>51.2</v>
      </c>
      <c r="I55" s="13" t="n">
        <v>21.82</v>
      </c>
      <c r="J55" s="13" t="n">
        <v>63.59</v>
      </c>
      <c r="K55" s="13" t="n">
        <v>0</v>
      </c>
      <c r="L55" s="13" t="n">
        <v>272</v>
      </c>
      <c r="M55" s="13" t="n">
        <v>6</v>
      </c>
      <c r="N55" s="16" t="n">
        <f aca="false">H55*Parameters!$B$6/60</f>
        <v>1.32266666666667</v>
      </c>
      <c r="O55" s="18" t="n">
        <f aca="false">IF(G55=0,0,H55/G55)</f>
        <v>6.93766937669377</v>
      </c>
      <c r="P55" s="18" t="n">
        <f aca="false">IF(N55=0,0,Parameters!$B$8/N55)</f>
        <v>35.5342741935484</v>
      </c>
      <c r="Q55" s="28" t="n">
        <f aca="false">N55/Parameters!$B$8</f>
        <v>0.0281418439716312</v>
      </c>
    </row>
    <row r="56" customFormat="false" ht="15" hidden="false" customHeight="true" outlineLevel="0" collapsed="false">
      <c r="A56" s="13" t="s">
        <v>197</v>
      </c>
      <c r="B56" s="13" t="n">
        <v>6</v>
      </c>
      <c r="C56" s="13" t="n">
        <v>20</v>
      </c>
      <c r="D56" s="13" t="s">
        <v>136</v>
      </c>
      <c r="E56" s="13" t="n">
        <v>2</v>
      </c>
      <c r="F56" s="18" t="n">
        <v>100</v>
      </c>
      <c r="G56" s="13" t="n">
        <v>8</v>
      </c>
      <c r="H56" s="13" t="n">
        <v>51.8</v>
      </c>
      <c r="I56" s="13" t="n">
        <v>29.52</v>
      </c>
      <c r="J56" s="13" t="n">
        <v>0</v>
      </c>
      <c r="K56" s="13" t="n">
        <v>0</v>
      </c>
      <c r="L56" s="13" t="n">
        <v>129</v>
      </c>
      <c r="M56" s="13" t="n">
        <v>6</v>
      </c>
      <c r="N56" s="16" t="n">
        <f aca="false">H56*Parameters!$B$6/60</f>
        <v>1.33816666666667</v>
      </c>
      <c r="O56" s="18" t="n">
        <f aca="false">IF(G56=0,0,H56/G56)</f>
        <v>6.475</v>
      </c>
      <c r="P56" s="18" t="n">
        <f aca="false">IF(N56=0,0,Parameters!$B$8/N56)</f>
        <v>35.1226802839706</v>
      </c>
      <c r="Q56" s="28" t="n">
        <f aca="false">N56/Parameters!$B$8</f>
        <v>0.0284716312056738</v>
      </c>
    </row>
    <row r="57" customFormat="false" ht="15" hidden="false" customHeight="true" outlineLevel="0" collapsed="false">
      <c r="A57" s="13" t="s">
        <v>197</v>
      </c>
      <c r="B57" s="13" t="n">
        <v>6</v>
      </c>
      <c r="C57" s="13" t="n">
        <v>20</v>
      </c>
      <c r="D57" s="13" t="s">
        <v>136</v>
      </c>
      <c r="E57" s="13" t="n">
        <v>3</v>
      </c>
      <c r="F57" s="18" t="n">
        <v>100</v>
      </c>
      <c r="G57" s="13" t="n">
        <v>8</v>
      </c>
      <c r="H57" s="13" t="n">
        <v>51.1</v>
      </c>
      <c r="I57" s="13" t="n">
        <v>30.44</v>
      </c>
      <c r="J57" s="13" t="n">
        <v>0</v>
      </c>
      <c r="K57" s="13" t="n">
        <v>0</v>
      </c>
      <c r="L57" s="13" t="n">
        <v>120</v>
      </c>
      <c r="M57" s="13" t="n">
        <v>6</v>
      </c>
      <c r="N57" s="16" t="n">
        <f aca="false">H57*Parameters!$B$6/60</f>
        <v>1.32008333333333</v>
      </c>
      <c r="O57" s="18" t="n">
        <f aca="false">IF(G57=0,0,H57/G57)</f>
        <v>6.3875</v>
      </c>
      <c r="P57" s="18" t="n">
        <f aca="false">IF(N57=0,0,Parameters!$B$8/N57)</f>
        <v>35.6038128906003</v>
      </c>
      <c r="Q57" s="28" t="n">
        <f aca="false">N57/Parameters!$B$8</f>
        <v>0.0280868794326241</v>
      </c>
    </row>
    <row r="58" customFormat="false" ht="15" hidden="false" customHeight="true" outlineLevel="0" collapsed="false">
      <c r="A58" s="13" t="s">
        <v>197</v>
      </c>
      <c r="B58" s="13" t="n">
        <v>6</v>
      </c>
      <c r="C58" s="13" t="n">
        <v>20</v>
      </c>
      <c r="D58" s="13" t="s">
        <v>136</v>
      </c>
      <c r="E58" s="13" t="n">
        <v>4</v>
      </c>
      <c r="F58" s="18" t="n">
        <v>100</v>
      </c>
      <c r="G58" s="13" t="n">
        <v>8</v>
      </c>
      <c r="H58" s="13" t="n">
        <v>49.7</v>
      </c>
      <c r="I58" s="13" t="n">
        <v>30.56</v>
      </c>
      <c r="J58" s="13" t="n">
        <v>0</v>
      </c>
      <c r="K58" s="13" t="n">
        <v>0</v>
      </c>
      <c r="L58" s="13" t="n">
        <v>115</v>
      </c>
      <c r="M58" s="13" t="n">
        <v>6</v>
      </c>
      <c r="N58" s="16" t="n">
        <f aca="false">H58*Parameters!$B$6/60</f>
        <v>1.28391666666667</v>
      </c>
      <c r="O58" s="18" t="n">
        <f aca="false">IF(G58=0,0,H58/G58)</f>
        <v>6.2125</v>
      </c>
      <c r="P58" s="18" t="n">
        <f aca="false">IF(N58=0,0,Parameters!$B$8/N58)</f>
        <v>36.6067371973778</v>
      </c>
      <c r="Q58" s="28" t="n">
        <f aca="false">N58/Parameters!$B$8</f>
        <v>0.0273173758865248</v>
      </c>
    </row>
    <row r="59" customFormat="false" ht="15" hidden="false" customHeight="true" outlineLevel="0" collapsed="false">
      <c r="A59" s="13" t="s">
        <v>197</v>
      </c>
      <c r="B59" s="13" t="n">
        <v>6</v>
      </c>
      <c r="C59" s="13" t="n">
        <v>20</v>
      </c>
      <c r="D59" s="13" t="s">
        <v>137</v>
      </c>
      <c r="E59" s="13" t="n">
        <v>2</v>
      </c>
      <c r="F59" s="18" t="n">
        <v>100</v>
      </c>
      <c r="G59" s="13" t="n">
        <v>5.79</v>
      </c>
      <c r="H59" s="13" t="n">
        <v>37.5</v>
      </c>
      <c r="I59" s="13" t="n">
        <v>15</v>
      </c>
      <c r="J59" s="13" t="n">
        <v>0</v>
      </c>
      <c r="K59" s="13" t="n">
        <v>3</v>
      </c>
      <c r="L59" s="13" t="n">
        <v>182</v>
      </c>
      <c r="M59" s="13" t="n">
        <v>6</v>
      </c>
      <c r="N59" s="16" t="n">
        <f aca="false">H59*Parameters!$B$6/60</f>
        <v>0.96875</v>
      </c>
      <c r="O59" s="18" t="n">
        <f aca="false">IF(G59=0,0,H59/G59)</f>
        <v>6.47668393782383</v>
      </c>
      <c r="P59" s="18" t="n">
        <f aca="false">IF(N59=0,0,Parameters!$B$8/N59)</f>
        <v>48.5161290322581</v>
      </c>
      <c r="Q59" s="28" t="n">
        <f aca="false">N59/Parameters!$B$8</f>
        <v>0.0206117021276596</v>
      </c>
    </row>
    <row r="60" customFormat="false" ht="15" hidden="false" customHeight="true" outlineLevel="0" collapsed="false">
      <c r="A60" s="13" t="s">
        <v>197</v>
      </c>
      <c r="B60" s="13" t="n">
        <v>6</v>
      </c>
      <c r="C60" s="13" t="n">
        <v>20</v>
      </c>
      <c r="D60" s="13" t="s">
        <v>137</v>
      </c>
      <c r="E60" s="13" t="n">
        <v>3</v>
      </c>
      <c r="F60" s="18" t="n">
        <v>100</v>
      </c>
      <c r="G60" s="13" t="n">
        <v>5.9</v>
      </c>
      <c r="H60" s="13" t="n">
        <v>37.7</v>
      </c>
      <c r="I60" s="13" t="n">
        <v>14.46</v>
      </c>
      <c r="J60" s="13" t="n">
        <v>0</v>
      </c>
      <c r="K60" s="13" t="n">
        <v>3</v>
      </c>
      <c r="L60" s="13" t="n">
        <v>162</v>
      </c>
      <c r="M60" s="13" t="n">
        <v>6</v>
      </c>
      <c r="N60" s="16" t="n">
        <f aca="false">H60*Parameters!$B$6/60</f>
        <v>0.973916666666667</v>
      </c>
      <c r="O60" s="18" t="n">
        <f aca="false">IF(G60=0,0,H60/G60)</f>
        <v>6.38983050847458</v>
      </c>
      <c r="P60" s="18" t="n">
        <f aca="false">IF(N60=0,0,Parameters!$B$8/N60)</f>
        <v>48.258749037392</v>
      </c>
      <c r="Q60" s="28" t="n">
        <f aca="false">N60/Parameters!$B$8</f>
        <v>0.0207216312056738</v>
      </c>
    </row>
    <row r="61" customFormat="false" ht="15" hidden="false" customHeight="true" outlineLevel="0" collapsed="false">
      <c r="A61" s="13" t="s">
        <v>197</v>
      </c>
      <c r="B61" s="13" t="n">
        <v>6</v>
      </c>
      <c r="C61" s="13" t="n">
        <v>20</v>
      </c>
      <c r="D61" s="13" t="s">
        <v>137</v>
      </c>
      <c r="E61" s="13" t="n">
        <v>4</v>
      </c>
      <c r="F61" s="18" t="n">
        <v>100</v>
      </c>
      <c r="G61" s="13" t="n">
        <v>5.8</v>
      </c>
      <c r="H61" s="13" t="n">
        <v>36.4</v>
      </c>
      <c r="I61" s="13" t="n">
        <v>14.53</v>
      </c>
      <c r="J61" s="13" t="n">
        <v>0</v>
      </c>
      <c r="K61" s="13" t="n">
        <v>3</v>
      </c>
      <c r="L61" s="13" t="n">
        <v>162</v>
      </c>
      <c r="M61" s="13" t="n">
        <v>6</v>
      </c>
      <c r="N61" s="16" t="n">
        <f aca="false">H61*Parameters!$B$6/60</f>
        <v>0.940333333333333</v>
      </c>
      <c r="O61" s="18" t="n">
        <f aca="false">IF(G61=0,0,H61/G61)</f>
        <v>6.27586206896552</v>
      </c>
      <c r="P61" s="18" t="n">
        <f aca="false">IF(N61=0,0,Parameters!$B$8/N61)</f>
        <v>49.9822757887274</v>
      </c>
      <c r="Q61" s="28" t="n">
        <f aca="false">N61/Parameters!$B$8</f>
        <v>0.0200070921985816</v>
      </c>
    </row>
    <row r="62" customFormat="false" ht="15" hidden="false" customHeight="true" outlineLevel="0" collapsed="false">
      <c r="A62" s="13" t="s">
        <v>197</v>
      </c>
      <c r="B62" s="13" t="n">
        <v>9</v>
      </c>
      <c r="C62" s="13" t="n">
        <v>12</v>
      </c>
      <c r="D62" s="13" t="s">
        <v>134</v>
      </c>
      <c r="E62" s="13" t="n">
        <v>0</v>
      </c>
      <c r="F62" s="18" t="n">
        <v>100</v>
      </c>
      <c r="G62" s="13" t="n">
        <v>8.34</v>
      </c>
      <c r="H62" s="13" t="n">
        <v>49</v>
      </c>
      <c r="I62" s="13" t="n">
        <v>14.5</v>
      </c>
      <c r="J62" s="13" t="n">
        <v>0</v>
      </c>
      <c r="K62" s="13" t="n">
        <v>0</v>
      </c>
      <c r="L62" s="13" t="n">
        <v>218</v>
      </c>
      <c r="M62" s="13" t="n">
        <v>9</v>
      </c>
      <c r="N62" s="16" t="n">
        <f aca="false">H62*Parameters!$B$6/60</f>
        <v>1.26583333333333</v>
      </c>
      <c r="O62" s="18" t="n">
        <f aca="false">IF(G62=0,0,H62/G62)</f>
        <v>5.87529976019185</v>
      </c>
      <c r="P62" s="18" t="n">
        <f aca="false">IF(N62=0,0,Parameters!$B$8/N62)</f>
        <v>37.1296905859118</v>
      </c>
      <c r="Q62" s="28" t="n">
        <f aca="false">N62/Parameters!$B$8</f>
        <v>0.0269326241134752</v>
      </c>
    </row>
    <row r="63" customFormat="false" ht="15" hidden="false" customHeight="true" outlineLevel="0" collapsed="false">
      <c r="A63" s="13" t="s">
        <v>197</v>
      </c>
      <c r="B63" s="13" t="n">
        <v>9</v>
      </c>
      <c r="C63" s="13" t="n">
        <v>12</v>
      </c>
      <c r="D63" s="13" t="s">
        <v>135</v>
      </c>
      <c r="E63" s="13" t="n">
        <v>2</v>
      </c>
      <c r="F63" s="18" t="n">
        <v>100</v>
      </c>
      <c r="G63" s="13" t="n">
        <v>7.22</v>
      </c>
      <c r="H63" s="13" t="n">
        <v>46</v>
      </c>
      <c r="I63" s="13" t="n">
        <v>13.74</v>
      </c>
      <c r="J63" s="13" t="n">
        <v>13.74</v>
      </c>
      <c r="K63" s="13" t="n">
        <v>0</v>
      </c>
      <c r="L63" s="13" t="n">
        <v>205</v>
      </c>
      <c r="M63" s="13" t="n">
        <v>9</v>
      </c>
      <c r="N63" s="16" t="n">
        <f aca="false">H63*Parameters!$B$6/60</f>
        <v>1.18833333333333</v>
      </c>
      <c r="O63" s="18" t="n">
        <f aca="false">IF(G63=0,0,H63/G63)</f>
        <v>6.37119113573407</v>
      </c>
      <c r="P63" s="18" t="n">
        <f aca="false">IF(N63=0,0,Parameters!$B$8/N63)</f>
        <v>39.5511921458626</v>
      </c>
      <c r="Q63" s="28" t="n">
        <f aca="false">N63/Parameters!$B$8</f>
        <v>0.0252836879432624</v>
      </c>
    </row>
    <row r="64" customFormat="false" ht="15" hidden="false" customHeight="true" outlineLevel="0" collapsed="false">
      <c r="A64" s="13" t="s">
        <v>197</v>
      </c>
      <c r="B64" s="13" t="n">
        <v>9</v>
      </c>
      <c r="C64" s="13" t="n">
        <v>12</v>
      </c>
      <c r="D64" s="13" t="s">
        <v>135</v>
      </c>
      <c r="E64" s="13" t="n">
        <v>3</v>
      </c>
      <c r="F64" s="18" t="n">
        <v>100</v>
      </c>
      <c r="G64" s="13" t="n">
        <v>6.62</v>
      </c>
      <c r="H64" s="13" t="n">
        <v>41.6</v>
      </c>
      <c r="I64" s="13" t="n">
        <v>12.67</v>
      </c>
      <c r="J64" s="13" t="n">
        <v>25.34</v>
      </c>
      <c r="K64" s="13" t="n">
        <v>0</v>
      </c>
      <c r="L64" s="13" t="n">
        <v>192</v>
      </c>
      <c r="M64" s="13" t="n">
        <v>9</v>
      </c>
      <c r="N64" s="16" t="n">
        <f aca="false">H64*Parameters!$B$6/60</f>
        <v>1.07466666666667</v>
      </c>
      <c r="O64" s="18" t="n">
        <f aca="false">IF(G64=0,0,H64/G64)</f>
        <v>6.28398791540786</v>
      </c>
      <c r="P64" s="18" t="n">
        <f aca="false">IF(N64=0,0,Parameters!$B$8/N64)</f>
        <v>43.7344913151365</v>
      </c>
      <c r="Q64" s="28" t="n">
        <f aca="false">N64/Parameters!$B$8</f>
        <v>0.0228652482269504</v>
      </c>
    </row>
    <row r="65" customFormat="false" ht="15" hidden="false" customHeight="true" outlineLevel="0" collapsed="false">
      <c r="A65" s="13" t="s">
        <v>197</v>
      </c>
      <c r="B65" s="13" t="n">
        <v>9</v>
      </c>
      <c r="C65" s="13" t="n">
        <v>12</v>
      </c>
      <c r="D65" s="13" t="s">
        <v>135</v>
      </c>
      <c r="E65" s="13" t="n">
        <v>4</v>
      </c>
      <c r="F65" s="18" t="n">
        <v>100</v>
      </c>
      <c r="G65" s="13" t="n">
        <v>6.26</v>
      </c>
      <c r="H65" s="13" t="n">
        <v>38.5</v>
      </c>
      <c r="I65" s="13" t="n">
        <v>12.32</v>
      </c>
      <c r="J65" s="13" t="n">
        <v>36.9</v>
      </c>
      <c r="K65" s="13" t="n">
        <v>0</v>
      </c>
      <c r="L65" s="13" t="n">
        <v>187</v>
      </c>
      <c r="M65" s="13" t="n">
        <v>9</v>
      </c>
      <c r="N65" s="16" t="n">
        <f aca="false">H65*Parameters!$B$6/60</f>
        <v>0.994583333333333</v>
      </c>
      <c r="O65" s="18" t="n">
        <f aca="false">IF(G65=0,0,H65/G65)</f>
        <v>6.15015974440895</v>
      </c>
      <c r="P65" s="18" t="n">
        <f aca="false">IF(N65=0,0,Parameters!$B$8/N65)</f>
        <v>47.255969836615</v>
      </c>
      <c r="Q65" s="28" t="n">
        <f aca="false">N65/Parameters!$B$8</f>
        <v>0.0211613475177305</v>
      </c>
    </row>
    <row r="66" customFormat="false" ht="15" hidden="false" customHeight="true" outlineLevel="0" collapsed="false">
      <c r="A66" s="13" t="s">
        <v>197</v>
      </c>
      <c r="B66" s="13" t="n">
        <v>9</v>
      </c>
      <c r="C66" s="13" t="n">
        <v>12</v>
      </c>
      <c r="D66" s="13" t="s">
        <v>136</v>
      </c>
      <c r="E66" s="13" t="n">
        <v>2</v>
      </c>
      <c r="F66" s="18" t="n">
        <v>100</v>
      </c>
      <c r="G66" s="13" t="n">
        <v>7.1</v>
      </c>
      <c r="H66" s="13" t="n">
        <v>40.4</v>
      </c>
      <c r="I66" s="13" t="n">
        <v>17.16</v>
      </c>
      <c r="J66" s="13" t="n">
        <v>0</v>
      </c>
      <c r="K66" s="13" t="n">
        <v>0</v>
      </c>
      <c r="L66" s="13" t="n">
        <v>99</v>
      </c>
      <c r="M66" s="13" t="n">
        <v>9</v>
      </c>
      <c r="N66" s="16" t="n">
        <f aca="false">H66*Parameters!$B$6/60</f>
        <v>1.04366666666667</v>
      </c>
      <c r="O66" s="18" t="n">
        <f aca="false">IF(G66=0,0,H66/G66)</f>
        <v>5.69014084507042</v>
      </c>
      <c r="P66" s="18" t="n">
        <f aca="false">IF(N66=0,0,Parameters!$B$8/N66)</f>
        <v>45.0335356116257</v>
      </c>
      <c r="Q66" s="28" t="n">
        <f aca="false">N66/Parameters!$B$8</f>
        <v>0.0222056737588652</v>
      </c>
    </row>
    <row r="67" customFormat="false" ht="15" hidden="false" customHeight="true" outlineLevel="0" collapsed="false">
      <c r="A67" s="13" t="s">
        <v>197</v>
      </c>
      <c r="B67" s="13" t="n">
        <v>9</v>
      </c>
      <c r="C67" s="13" t="n">
        <v>12</v>
      </c>
      <c r="D67" s="13" t="s">
        <v>136</v>
      </c>
      <c r="E67" s="13" t="n">
        <v>3</v>
      </c>
      <c r="F67" s="18" t="n">
        <v>100</v>
      </c>
      <c r="G67" s="13" t="n">
        <v>7.1</v>
      </c>
      <c r="H67" s="13" t="n">
        <v>39.7</v>
      </c>
      <c r="I67" s="13" t="n">
        <v>17.21</v>
      </c>
      <c r="J67" s="13" t="n">
        <v>0</v>
      </c>
      <c r="K67" s="13" t="n">
        <v>0</v>
      </c>
      <c r="L67" s="13" t="n">
        <v>97</v>
      </c>
      <c r="M67" s="13" t="n">
        <v>9</v>
      </c>
      <c r="N67" s="16" t="n">
        <f aca="false">H67*Parameters!$B$6/60</f>
        <v>1.02558333333333</v>
      </c>
      <c r="O67" s="18" t="n">
        <f aca="false">IF(G67=0,0,H67/G67)</f>
        <v>5.59154929577465</v>
      </c>
      <c r="P67" s="18" t="n">
        <f aca="false">IF(N67=0,0,Parameters!$B$8/N67)</f>
        <v>45.8275778012513</v>
      </c>
      <c r="Q67" s="28" t="n">
        <f aca="false">N67/Parameters!$B$8</f>
        <v>0.0218209219858156</v>
      </c>
    </row>
    <row r="68" customFormat="false" ht="15" hidden="false" customHeight="true" outlineLevel="0" collapsed="false">
      <c r="A68" s="13" t="s">
        <v>197</v>
      </c>
      <c r="B68" s="13" t="n">
        <v>9</v>
      </c>
      <c r="C68" s="13" t="n">
        <v>12</v>
      </c>
      <c r="D68" s="13" t="s">
        <v>136</v>
      </c>
      <c r="E68" s="13" t="n">
        <v>4</v>
      </c>
      <c r="F68" s="18" t="n">
        <v>100</v>
      </c>
      <c r="G68" s="13" t="n">
        <v>7.04</v>
      </c>
      <c r="H68" s="13" t="n">
        <v>38.9</v>
      </c>
      <c r="I68" s="13" t="n">
        <v>17.05</v>
      </c>
      <c r="J68" s="13" t="n">
        <v>0</v>
      </c>
      <c r="K68" s="13" t="n">
        <v>0</v>
      </c>
      <c r="L68" s="13" t="n">
        <v>95</v>
      </c>
      <c r="M68" s="13" t="n">
        <v>9</v>
      </c>
      <c r="N68" s="16" t="n">
        <f aca="false">H68*Parameters!$B$6/60</f>
        <v>1.00491666666667</v>
      </c>
      <c r="O68" s="18" t="n">
        <f aca="false">IF(G68=0,0,H68/G68)</f>
        <v>5.52556818181818</v>
      </c>
      <c r="P68" s="18" t="n">
        <f aca="false">IF(N68=0,0,Parameters!$B$8/N68)</f>
        <v>46.770047267601</v>
      </c>
      <c r="Q68" s="28" t="n">
        <f aca="false">N68/Parameters!$B$8</f>
        <v>0.0213812056737589</v>
      </c>
    </row>
    <row r="69" customFormat="false" ht="15" hidden="false" customHeight="true" outlineLevel="0" collapsed="false">
      <c r="A69" s="13" t="s">
        <v>197</v>
      </c>
      <c r="B69" s="13" t="n">
        <v>9</v>
      </c>
      <c r="C69" s="13" t="n">
        <v>12</v>
      </c>
      <c r="D69" s="13" t="s">
        <v>137</v>
      </c>
      <c r="E69" s="13" t="n">
        <v>2</v>
      </c>
      <c r="F69" s="18" t="n">
        <v>100</v>
      </c>
      <c r="G69" s="13" t="n">
        <v>4.41</v>
      </c>
      <c r="H69" s="13" t="n">
        <v>26</v>
      </c>
      <c r="I69" s="13" t="n">
        <v>9.44</v>
      </c>
      <c r="J69" s="13" t="n">
        <v>0</v>
      </c>
      <c r="K69" s="13" t="n">
        <v>3</v>
      </c>
      <c r="L69" s="13" t="n">
        <v>117</v>
      </c>
      <c r="M69" s="13" t="n">
        <v>9</v>
      </c>
      <c r="N69" s="16" t="n">
        <f aca="false">H69*Parameters!$B$6/60</f>
        <v>0.671666666666667</v>
      </c>
      <c r="O69" s="18" t="n">
        <f aca="false">IF(G69=0,0,H69/G69)</f>
        <v>5.89569160997732</v>
      </c>
      <c r="P69" s="18" t="n">
        <f aca="false">IF(N69=0,0,Parameters!$B$8/N69)</f>
        <v>69.9751861042184</v>
      </c>
      <c r="Q69" s="28" t="n">
        <f aca="false">N69/Parameters!$B$8</f>
        <v>0.014290780141844</v>
      </c>
    </row>
    <row r="70" customFormat="false" ht="15" hidden="false" customHeight="true" outlineLevel="0" collapsed="false">
      <c r="A70" s="13" t="s">
        <v>197</v>
      </c>
      <c r="B70" s="13" t="n">
        <v>9</v>
      </c>
      <c r="C70" s="13" t="n">
        <v>12</v>
      </c>
      <c r="D70" s="13" t="s">
        <v>137</v>
      </c>
      <c r="E70" s="13" t="n">
        <v>3</v>
      </c>
      <c r="F70" s="18" t="n">
        <v>100</v>
      </c>
      <c r="G70" s="13" t="n">
        <v>3.44</v>
      </c>
      <c r="H70" s="13" t="n">
        <v>22.8</v>
      </c>
      <c r="I70" s="13" t="n">
        <v>9</v>
      </c>
      <c r="J70" s="13" t="n">
        <v>0</v>
      </c>
      <c r="K70" s="13" t="n">
        <v>3</v>
      </c>
      <c r="L70" s="13" t="n">
        <v>109</v>
      </c>
      <c r="M70" s="13" t="n">
        <v>9</v>
      </c>
      <c r="N70" s="16" t="n">
        <f aca="false">H70*Parameters!$B$6/60</f>
        <v>0.589</v>
      </c>
      <c r="O70" s="18" t="n">
        <f aca="false">IF(G70=0,0,H70/G70)</f>
        <v>6.62790697674419</v>
      </c>
      <c r="P70" s="18" t="n">
        <f aca="false">IF(N70=0,0,Parameters!$B$8/N70)</f>
        <v>79.7962648556876</v>
      </c>
      <c r="Q70" s="28" t="n">
        <f aca="false">N70/Parameters!$B$8</f>
        <v>0.012531914893617</v>
      </c>
    </row>
    <row r="71" customFormat="false" ht="15" hidden="false" customHeight="true" outlineLevel="0" collapsed="false">
      <c r="A71" s="13" t="s">
        <v>197</v>
      </c>
      <c r="B71" s="13" t="n">
        <v>9</v>
      </c>
      <c r="C71" s="13" t="n">
        <v>12</v>
      </c>
      <c r="D71" s="13" t="s">
        <v>137</v>
      </c>
      <c r="E71" s="13" t="n">
        <v>4</v>
      </c>
      <c r="F71" s="18" t="n">
        <v>100</v>
      </c>
      <c r="G71" s="13" t="n">
        <v>3</v>
      </c>
      <c r="H71" s="13" t="n">
        <v>20.7</v>
      </c>
      <c r="I71" s="13" t="n">
        <v>7</v>
      </c>
      <c r="J71" s="13" t="n">
        <v>0</v>
      </c>
      <c r="K71" s="13" t="n">
        <v>3</v>
      </c>
      <c r="L71" s="13" t="n">
        <v>101</v>
      </c>
      <c r="M71" s="13" t="n">
        <v>9</v>
      </c>
      <c r="N71" s="16" t="n">
        <f aca="false">H71*Parameters!$B$6/60</f>
        <v>0.53475</v>
      </c>
      <c r="O71" s="18" t="n">
        <f aca="false">IF(G71=0,0,H71/G71)</f>
        <v>6.9</v>
      </c>
      <c r="P71" s="18" t="n">
        <f aca="false">IF(N71=0,0,Parameters!$B$8/N71)</f>
        <v>87.8915381019168</v>
      </c>
      <c r="Q71" s="28" t="n">
        <f aca="false">N71/Parameters!$B$8</f>
        <v>0.0113776595744681</v>
      </c>
    </row>
    <row r="72" customFormat="false" ht="15" hidden="false" customHeight="true" outlineLevel="0" collapsed="false">
      <c r="A72" s="13" t="s">
        <v>197</v>
      </c>
      <c r="B72" s="13" t="n">
        <v>9</v>
      </c>
      <c r="C72" s="13" t="n">
        <v>20</v>
      </c>
      <c r="D72" s="13" t="s">
        <v>134</v>
      </c>
      <c r="E72" s="13" t="n">
        <v>0</v>
      </c>
      <c r="F72" s="18" t="n">
        <v>82</v>
      </c>
      <c r="G72" s="13" t="n">
        <v>9.98</v>
      </c>
      <c r="H72" s="13" t="n">
        <v>66.5</v>
      </c>
      <c r="I72" s="13" t="n">
        <v>23.5</v>
      </c>
      <c r="J72" s="13" t="n">
        <v>0</v>
      </c>
      <c r="K72" s="13" t="n">
        <v>0</v>
      </c>
      <c r="L72" s="13" t="n">
        <v>376</v>
      </c>
      <c r="M72" s="13" t="n">
        <v>9</v>
      </c>
      <c r="N72" s="16" t="n">
        <f aca="false">H72*Parameters!$B$6/60</f>
        <v>1.71791666666667</v>
      </c>
      <c r="O72" s="18" t="n">
        <f aca="false">IF(G72=0,0,H72/G72)</f>
        <v>6.66332665330661</v>
      </c>
      <c r="P72" s="18" t="n">
        <f aca="false">IF(N72=0,0,Parameters!$B$8/N72)</f>
        <v>27.3587193790929</v>
      </c>
      <c r="Q72" s="28" t="n">
        <f aca="false">N72/Parameters!$B$8</f>
        <v>0.0365514184397163</v>
      </c>
    </row>
    <row r="73" customFormat="false" ht="15" hidden="false" customHeight="true" outlineLevel="0" collapsed="false">
      <c r="A73" s="13" t="s">
        <v>197</v>
      </c>
      <c r="B73" s="13" t="n">
        <v>9</v>
      </c>
      <c r="C73" s="13" t="n">
        <v>20</v>
      </c>
      <c r="D73" s="13" t="s">
        <v>135</v>
      </c>
      <c r="E73" s="13" t="n">
        <v>2</v>
      </c>
      <c r="F73" s="18" t="n">
        <v>90.8</v>
      </c>
      <c r="G73" s="13" t="n">
        <v>8.96</v>
      </c>
      <c r="H73" s="13" t="n">
        <v>62.3</v>
      </c>
      <c r="I73" s="13" t="n">
        <v>23.01</v>
      </c>
      <c r="J73" s="13" t="n">
        <v>22.95</v>
      </c>
      <c r="K73" s="13" t="n">
        <v>0</v>
      </c>
      <c r="L73" s="13" t="n">
        <v>354</v>
      </c>
      <c r="M73" s="13" t="n">
        <v>9</v>
      </c>
      <c r="N73" s="16" t="n">
        <f aca="false">H73*Parameters!$B$6/60</f>
        <v>1.60941666666667</v>
      </c>
      <c r="O73" s="18" t="n">
        <f aca="false">IF(G73=0,0,H73/G73)</f>
        <v>6.953125</v>
      </c>
      <c r="P73" s="18" t="n">
        <f aca="false">IF(N73=0,0,Parameters!$B$8/N73)</f>
        <v>29.2031274271216</v>
      </c>
      <c r="Q73" s="28" t="n">
        <f aca="false">N73/Parameters!$B$8</f>
        <v>0.0342429078014184</v>
      </c>
    </row>
    <row r="74" customFormat="false" ht="15" hidden="false" customHeight="true" outlineLevel="0" collapsed="false">
      <c r="A74" s="13" t="s">
        <v>197</v>
      </c>
      <c r="B74" s="13" t="n">
        <v>9</v>
      </c>
      <c r="C74" s="13" t="n">
        <v>20</v>
      </c>
      <c r="D74" s="13" t="s">
        <v>135</v>
      </c>
      <c r="E74" s="13" t="n">
        <v>3</v>
      </c>
      <c r="F74" s="18" t="n">
        <v>96.8</v>
      </c>
      <c r="G74" s="13" t="n">
        <v>8.11</v>
      </c>
      <c r="H74" s="13" t="n">
        <v>55.4</v>
      </c>
      <c r="I74" s="13" t="n">
        <v>22.75</v>
      </c>
      <c r="J74" s="13" t="n">
        <v>45.32</v>
      </c>
      <c r="K74" s="13" t="n">
        <v>0</v>
      </c>
      <c r="L74" s="13" t="n">
        <v>314</v>
      </c>
      <c r="M74" s="13" t="n">
        <v>9</v>
      </c>
      <c r="N74" s="16" t="n">
        <f aca="false">H74*Parameters!$B$6/60</f>
        <v>1.43116666666667</v>
      </c>
      <c r="O74" s="18" t="n">
        <f aca="false">IF(G74=0,0,H74/G74)</f>
        <v>6.83107274969174</v>
      </c>
      <c r="P74" s="18" t="n">
        <f aca="false">IF(N74=0,0,Parameters!$B$8/N74)</f>
        <v>32.8403400489111</v>
      </c>
      <c r="Q74" s="28" t="n">
        <f aca="false">N74/Parameters!$B$8</f>
        <v>0.0304503546099291</v>
      </c>
    </row>
    <row r="75" customFormat="false" ht="15" hidden="false" customHeight="true" outlineLevel="0" collapsed="false">
      <c r="A75" s="13" t="s">
        <v>197</v>
      </c>
      <c r="B75" s="13" t="n">
        <v>9</v>
      </c>
      <c r="C75" s="13" t="n">
        <v>20</v>
      </c>
      <c r="D75" s="13" t="s">
        <v>135</v>
      </c>
      <c r="E75" s="13" t="n">
        <v>4</v>
      </c>
      <c r="F75" s="18" t="n">
        <v>97.2</v>
      </c>
      <c r="G75" s="13" t="n">
        <v>6.94</v>
      </c>
      <c r="H75" s="13" t="n">
        <v>49.4</v>
      </c>
      <c r="I75" s="13" t="n">
        <v>21.03</v>
      </c>
      <c r="J75" s="13" t="n">
        <v>61.44</v>
      </c>
      <c r="K75" s="13" t="n">
        <v>0</v>
      </c>
      <c r="L75" s="13" t="n">
        <v>288</v>
      </c>
      <c r="M75" s="13" t="n">
        <v>9</v>
      </c>
      <c r="N75" s="16" t="n">
        <f aca="false">H75*Parameters!$B$6/60</f>
        <v>1.27616666666667</v>
      </c>
      <c r="O75" s="18" t="n">
        <f aca="false">IF(G75=0,0,H75/G75)</f>
        <v>7.11815561959654</v>
      </c>
      <c r="P75" s="18" t="n">
        <f aca="false">IF(N75=0,0,Parameters!$B$8/N75)</f>
        <v>36.8290453180097</v>
      </c>
      <c r="Q75" s="28" t="n">
        <f aca="false">N75/Parameters!$B$8</f>
        <v>0.0271524822695035</v>
      </c>
    </row>
    <row r="76" customFormat="false" ht="15" hidden="false" customHeight="true" outlineLevel="0" collapsed="false">
      <c r="A76" s="13" t="s">
        <v>197</v>
      </c>
      <c r="B76" s="13" t="n">
        <v>9</v>
      </c>
      <c r="C76" s="13" t="n">
        <v>20</v>
      </c>
      <c r="D76" s="13" t="s">
        <v>136</v>
      </c>
      <c r="E76" s="13" t="n">
        <v>2</v>
      </c>
      <c r="F76" s="18" t="n">
        <v>100</v>
      </c>
      <c r="G76" s="13" t="n">
        <v>7.77</v>
      </c>
      <c r="H76" s="13" t="n">
        <v>53.3</v>
      </c>
      <c r="I76" s="13" t="n">
        <v>28.81</v>
      </c>
      <c r="J76" s="13" t="n">
        <v>0</v>
      </c>
      <c r="K76" s="13" t="n">
        <v>0</v>
      </c>
      <c r="L76" s="13" t="n">
        <v>154</v>
      </c>
      <c r="M76" s="13" t="n">
        <v>9</v>
      </c>
      <c r="N76" s="16" t="n">
        <f aca="false">H76*Parameters!$B$6/60</f>
        <v>1.37691666666667</v>
      </c>
      <c r="O76" s="18" t="n">
        <f aca="false">IF(G76=0,0,H76/G76)</f>
        <v>6.85971685971686</v>
      </c>
      <c r="P76" s="18" t="n">
        <f aca="false">IF(N76=0,0,Parameters!$B$8/N76)</f>
        <v>34.134237124009</v>
      </c>
      <c r="Q76" s="28" t="n">
        <f aca="false">N76/Parameters!$B$8</f>
        <v>0.0292960992907801</v>
      </c>
    </row>
    <row r="77" customFormat="false" ht="15" hidden="false" customHeight="true" outlineLevel="0" collapsed="false">
      <c r="A77" s="13" t="s">
        <v>197</v>
      </c>
      <c r="B77" s="13" t="n">
        <v>9</v>
      </c>
      <c r="C77" s="13" t="n">
        <v>20</v>
      </c>
      <c r="D77" s="13" t="s">
        <v>136</v>
      </c>
      <c r="E77" s="13" t="n">
        <v>3</v>
      </c>
      <c r="F77" s="18" t="n">
        <v>100</v>
      </c>
      <c r="G77" s="13" t="n">
        <v>7.6</v>
      </c>
      <c r="H77" s="13" t="n">
        <v>52.2</v>
      </c>
      <c r="I77" s="13" t="n">
        <v>28.82</v>
      </c>
      <c r="J77" s="13" t="n">
        <v>0</v>
      </c>
      <c r="K77" s="13" t="n">
        <v>0</v>
      </c>
      <c r="L77" s="13" t="n">
        <v>148</v>
      </c>
      <c r="M77" s="13" t="n">
        <v>9</v>
      </c>
      <c r="N77" s="16" t="n">
        <f aca="false">H77*Parameters!$B$6/60</f>
        <v>1.3485</v>
      </c>
      <c r="O77" s="18" t="n">
        <f aca="false">IF(G77=0,0,H77/G77)</f>
        <v>6.86842105263158</v>
      </c>
      <c r="P77" s="18" t="n">
        <f aca="false">IF(N77=0,0,Parameters!$B$8/N77)</f>
        <v>34.8535409714498</v>
      </c>
      <c r="Q77" s="28" t="n">
        <f aca="false">N77/Parameters!$B$8</f>
        <v>0.0286914893617021</v>
      </c>
    </row>
    <row r="78" customFormat="false" ht="15" hidden="false" customHeight="true" outlineLevel="0" collapsed="false">
      <c r="A78" s="13" t="s">
        <v>197</v>
      </c>
      <c r="B78" s="13" t="n">
        <v>9</v>
      </c>
      <c r="C78" s="13" t="n">
        <v>20</v>
      </c>
      <c r="D78" s="13" t="s">
        <v>136</v>
      </c>
      <c r="E78" s="13" t="n">
        <v>4</v>
      </c>
      <c r="F78" s="18" t="n">
        <v>100</v>
      </c>
      <c r="G78" s="13" t="n">
        <v>7.66</v>
      </c>
      <c r="H78" s="13" t="n">
        <v>51.2</v>
      </c>
      <c r="I78" s="13" t="n">
        <v>28.54</v>
      </c>
      <c r="J78" s="13" t="n">
        <v>0</v>
      </c>
      <c r="K78" s="13" t="n">
        <v>0</v>
      </c>
      <c r="L78" s="13" t="n">
        <v>142</v>
      </c>
      <c r="M78" s="13" t="n">
        <v>9</v>
      </c>
      <c r="N78" s="16" t="n">
        <f aca="false">H78*Parameters!$B$6/60</f>
        <v>1.32266666666667</v>
      </c>
      <c r="O78" s="18" t="n">
        <f aca="false">IF(G78=0,0,H78/G78)</f>
        <v>6.68407310704961</v>
      </c>
      <c r="P78" s="18" t="n">
        <f aca="false">IF(N78=0,0,Parameters!$B$8/N78)</f>
        <v>35.5342741935484</v>
      </c>
      <c r="Q78" s="28" t="n">
        <f aca="false">N78/Parameters!$B$8</f>
        <v>0.0281418439716312</v>
      </c>
    </row>
    <row r="79" customFormat="false" ht="15" hidden="false" customHeight="true" outlineLevel="0" collapsed="false">
      <c r="A79" s="13" t="s">
        <v>197</v>
      </c>
      <c r="B79" s="13" t="n">
        <v>9</v>
      </c>
      <c r="C79" s="13" t="n">
        <v>20</v>
      </c>
      <c r="D79" s="13" t="s">
        <v>137</v>
      </c>
      <c r="E79" s="13" t="n">
        <v>2</v>
      </c>
      <c r="F79" s="18" t="n">
        <v>100</v>
      </c>
      <c r="G79" s="13" t="n">
        <v>4.72</v>
      </c>
      <c r="H79" s="13" t="n">
        <v>31.3</v>
      </c>
      <c r="I79" s="13" t="n">
        <v>15.99</v>
      </c>
      <c r="J79" s="13" t="n">
        <v>0</v>
      </c>
      <c r="K79" s="13" t="n">
        <v>3</v>
      </c>
      <c r="L79" s="13" t="n">
        <v>171</v>
      </c>
      <c r="M79" s="13" t="n">
        <v>9</v>
      </c>
      <c r="N79" s="16" t="n">
        <f aca="false">H79*Parameters!$B$6/60</f>
        <v>0.808583333333333</v>
      </c>
      <c r="O79" s="18" t="n">
        <f aca="false">IF(G79=0,0,H79/G79)</f>
        <v>6.63135593220339</v>
      </c>
      <c r="P79" s="18" t="n">
        <f aca="false">IF(N79=0,0,Parameters!$B$8/N79)</f>
        <v>58.1263526744306</v>
      </c>
      <c r="Q79" s="28" t="n">
        <f aca="false">N79/Parameters!$B$8</f>
        <v>0.0172039007092199</v>
      </c>
    </row>
    <row r="80" customFormat="false" ht="15" hidden="false" customHeight="true" outlineLevel="0" collapsed="false">
      <c r="A80" s="13" t="s">
        <v>197</v>
      </c>
      <c r="B80" s="13" t="n">
        <v>9</v>
      </c>
      <c r="C80" s="13" t="n">
        <v>20</v>
      </c>
      <c r="D80" s="13" t="s">
        <v>137</v>
      </c>
      <c r="E80" s="13" t="n">
        <v>3</v>
      </c>
      <c r="F80" s="18" t="n">
        <v>100</v>
      </c>
      <c r="G80" s="13" t="n">
        <v>3.93</v>
      </c>
      <c r="H80" s="13" t="n">
        <v>28</v>
      </c>
      <c r="I80" s="13" t="n">
        <v>15.02</v>
      </c>
      <c r="J80" s="13" t="n">
        <v>0</v>
      </c>
      <c r="K80" s="13" t="n">
        <v>3</v>
      </c>
      <c r="L80" s="13" t="n">
        <v>153</v>
      </c>
      <c r="M80" s="13" t="n">
        <v>9</v>
      </c>
      <c r="N80" s="16" t="n">
        <f aca="false">H80*Parameters!$B$6/60</f>
        <v>0.723333333333333</v>
      </c>
      <c r="O80" s="18" t="n">
        <f aca="false">IF(G80=0,0,H80/G80)</f>
        <v>7.12468193384224</v>
      </c>
      <c r="P80" s="18" t="n">
        <f aca="false">IF(N80=0,0,Parameters!$B$8/N80)</f>
        <v>64.9769585253456</v>
      </c>
      <c r="Q80" s="28" t="n">
        <f aca="false">N80/Parameters!$B$8</f>
        <v>0.0153900709219858</v>
      </c>
    </row>
    <row r="81" customFormat="false" ht="15" hidden="false" customHeight="true" outlineLevel="0" collapsed="false">
      <c r="A81" s="13" t="s">
        <v>197</v>
      </c>
      <c r="B81" s="13" t="n">
        <v>9</v>
      </c>
      <c r="C81" s="13" t="n">
        <v>20</v>
      </c>
      <c r="D81" s="13" t="s">
        <v>137</v>
      </c>
      <c r="E81" s="13" t="n">
        <v>4</v>
      </c>
      <c r="F81" s="18" t="n">
        <v>100</v>
      </c>
      <c r="G81" s="13" t="n">
        <v>3.02</v>
      </c>
      <c r="H81" s="13" t="n">
        <v>26</v>
      </c>
      <c r="I81" s="13" t="n">
        <v>13</v>
      </c>
      <c r="J81" s="13" t="n">
        <v>0</v>
      </c>
      <c r="K81" s="13" t="n">
        <v>3</v>
      </c>
      <c r="L81" s="13" t="n">
        <v>156</v>
      </c>
      <c r="M81" s="13" t="n">
        <v>9</v>
      </c>
      <c r="N81" s="16" t="n">
        <f aca="false">H81*Parameters!$B$6/60</f>
        <v>0.671666666666667</v>
      </c>
      <c r="O81" s="18" t="n">
        <f aca="false">IF(G81=0,0,H81/G81)</f>
        <v>8.60927152317881</v>
      </c>
      <c r="P81" s="18" t="n">
        <f aca="false">IF(N81=0,0,Parameters!$B$8/N81)</f>
        <v>69.9751861042184</v>
      </c>
      <c r="Q81" s="28" t="n">
        <f aca="false">N81/Parameters!$B$8</f>
        <v>0.014290780141844</v>
      </c>
    </row>
    <row r="82" customFormat="false" ht="15" hidden="false" customHeight="true" outlineLevel="0" collapsed="false">
      <c r="A82" s="13" t="s">
        <v>192</v>
      </c>
      <c r="B82" s="13" t="n">
        <v>3</v>
      </c>
      <c r="C82" s="13" t="n">
        <v>6</v>
      </c>
      <c r="D82" s="13" t="s">
        <v>134</v>
      </c>
      <c r="E82" s="13" t="n">
        <v>0</v>
      </c>
      <c r="F82" s="18" t="n">
        <v>100</v>
      </c>
      <c r="G82" s="13" t="n">
        <v>8.67</v>
      </c>
      <c r="H82" s="13" t="n">
        <v>43.3</v>
      </c>
      <c r="I82" s="13" t="n">
        <v>6.26</v>
      </c>
      <c r="J82" s="13" t="n">
        <v>0</v>
      </c>
      <c r="K82" s="13" t="n">
        <v>0</v>
      </c>
      <c r="L82" s="13" t="n">
        <v>180</v>
      </c>
      <c r="M82" s="13" t="n">
        <v>3</v>
      </c>
      <c r="N82" s="16" t="n">
        <f aca="false">H82*Parameters!$B$6/60</f>
        <v>1.11858333333333</v>
      </c>
      <c r="O82" s="18" t="n">
        <f aca="false">IF(G82=0,0,H82/G82)</f>
        <v>4.99423298731257</v>
      </c>
      <c r="P82" s="18" t="n">
        <f aca="false">IF(N82=0,0,Parameters!$B$8/N82)</f>
        <v>42.0174327646577</v>
      </c>
      <c r="Q82" s="28" t="n">
        <f aca="false">N82/Parameters!$B$8</f>
        <v>0.0237996453900709</v>
      </c>
    </row>
    <row r="83" customFormat="false" ht="15" hidden="false" customHeight="true" outlineLevel="0" collapsed="false">
      <c r="A83" s="13" t="s">
        <v>192</v>
      </c>
      <c r="B83" s="13" t="n">
        <v>3</v>
      </c>
      <c r="C83" s="13" t="n">
        <v>6</v>
      </c>
      <c r="D83" s="13" t="s">
        <v>135</v>
      </c>
      <c r="E83" s="13" t="n">
        <v>2</v>
      </c>
      <c r="F83" s="18" t="n">
        <v>100</v>
      </c>
      <c r="G83" s="13" t="n">
        <v>8.11</v>
      </c>
      <c r="H83" s="13" t="n">
        <v>41.5</v>
      </c>
      <c r="I83" s="13" t="n">
        <v>6.26</v>
      </c>
      <c r="J83" s="13" t="n">
        <v>6.26</v>
      </c>
      <c r="K83" s="13" t="n">
        <v>0</v>
      </c>
      <c r="L83" s="13" t="n">
        <v>180</v>
      </c>
      <c r="M83" s="13" t="n">
        <v>3</v>
      </c>
      <c r="N83" s="16" t="n">
        <f aca="false">H83*Parameters!$B$6/60</f>
        <v>1.07208333333333</v>
      </c>
      <c r="O83" s="18" t="n">
        <f aca="false">IF(G83=0,0,H83/G83)</f>
        <v>5.11713933415536</v>
      </c>
      <c r="P83" s="18" t="n">
        <f aca="false">IF(N83=0,0,Parameters!$B$8/N83)</f>
        <v>43.8398756315585</v>
      </c>
      <c r="Q83" s="28" t="n">
        <f aca="false">N83/Parameters!$B$8</f>
        <v>0.0228102836879433</v>
      </c>
    </row>
    <row r="84" customFormat="false" ht="15" hidden="false" customHeight="true" outlineLevel="0" collapsed="false">
      <c r="A84" s="13" t="s">
        <v>192</v>
      </c>
      <c r="B84" s="13" t="n">
        <v>3</v>
      </c>
      <c r="C84" s="13" t="n">
        <v>6</v>
      </c>
      <c r="D84" s="13" t="s">
        <v>135</v>
      </c>
      <c r="E84" s="13" t="n">
        <v>3</v>
      </c>
      <c r="F84" s="18" t="n">
        <v>100</v>
      </c>
      <c r="G84" s="13" t="n">
        <v>8.04</v>
      </c>
      <c r="H84" s="13" t="n">
        <v>41.1</v>
      </c>
      <c r="I84" s="13" t="n">
        <v>6.17</v>
      </c>
      <c r="J84" s="13" t="n">
        <v>12.34</v>
      </c>
      <c r="K84" s="13" t="n">
        <v>0</v>
      </c>
      <c r="L84" s="13" t="n">
        <v>180</v>
      </c>
      <c r="M84" s="13" t="n">
        <v>3</v>
      </c>
      <c r="N84" s="16" t="n">
        <f aca="false">H84*Parameters!$B$6/60</f>
        <v>1.06175</v>
      </c>
      <c r="O84" s="18" t="n">
        <f aca="false">IF(G84=0,0,H84/G84)</f>
        <v>5.11194029850746</v>
      </c>
      <c r="P84" s="18" t="n">
        <f aca="false">IF(N84=0,0,Parameters!$B$8/N84)</f>
        <v>44.2665410878267</v>
      </c>
      <c r="Q84" s="28" t="n">
        <f aca="false">N84/Parameters!$B$8</f>
        <v>0.0225904255319149</v>
      </c>
    </row>
    <row r="85" customFormat="false" ht="15" hidden="false" customHeight="true" outlineLevel="0" collapsed="false">
      <c r="A85" s="13" t="s">
        <v>192</v>
      </c>
      <c r="B85" s="13" t="n">
        <v>3</v>
      </c>
      <c r="C85" s="13" t="n">
        <v>6</v>
      </c>
      <c r="D85" s="13" t="s">
        <v>135</v>
      </c>
      <c r="E85" s="13" t="n">
        <v>4</v>
      </c>
      <c r="F85" s="18" t="n">
        <v>100</v>
      </c>
      <c r="G85" s="13" t="n">
        <v>7.99</v>
      </c>
      <c r="H85" s="13" t="n">
        <v>40.2</v>
      </c>
      <c r="I85" s="13" t="n">
        <v>6.17</v>
      </c>
      <c r="J85" s="13" t="n">
        <v>18.4</v>
      </c>
      <c r="K85" s="13" t="n">
        <v>0</v>
      </c>
      <c r="L85" s="13" t="n">
        <v>180</v>
      </c>
      <c r="M85" s="13" t="n">
        <v>3</v>
      </c>
      <c r="N85" s="16" t="n">
        <f aca="false">H85*Parameters!$B$6/60</f>
        <v>1.0385</v>
      </c>
      <c r="O85" s="18" t="n">
        <f aca="false">IF(G85=0,0,H85/G85)</f>
        <v>5.03128911138924</v>
      </c>
      <c r="P85" s="18" t="n">
        <f aca="false">IF(N85=0,0,Parameters!$B$8/N85)</f>
        <v>45.2575830524795</v>
      </c>
      <c r="Q85" s="28" t="n">
        <f aca="false">N85/Parameters!$B$8</f>
        <v>0.0220957446808511</v>
      </c>
    </row>
    <row r="86" customFormat="false" ht="15" hidden="false" customHeight="true" outlineLevel="0" collapsed="false">
      <c r="A86" s="13" t="s">
        <v>192</v>
      </c>
      <c r="B86" s="13" t="n">
        <v>3</v>
      </c>
      <c r="C86" s="13" t="n">
        <v>6</v>
      </c>
      <c r="D86" s="13" t="s">
        <v>136</v>
      </c>
      <c r="E86" s="13" t="n">
        <v>2</v>
      </c>
      <c r="F86" s="18" t="n">
        <v>100</v>
      </c>
      <c r="G86" s="13" t="n">
        <v>6</v>
      </c>
      <c r="H86" s="13" t="n">
        <v>28.2</v>
      </c>
      <c r="I86" s="13" t="n">
        <v>6.57</v>
      </c>
      <c r="J86" s="13" t="n">
        <v>0</v>
      </c>
      <c r="K86" s="13" t="n">
        <v>0</v>
      </c>
      <c r="L86" s="13" t="n">
        <v>107</v>
      </c>
      <c r="M86" s="13" t="n">
        <v>3</v>
      </c>
      <c r="N86" s="16" t="n">
        <f aca="false">H86*Parameters!$B$6/60</f>
        <v>0.7285</v>
      </c>
      <c r="O86" s="18" t="n">
        <f aca="false">IF(G86=0,0,H86/G86)</f>
        <v>4.7</v>
      </c>
      <c r="P86" s="18" t="n">
        <f aca="false">IF(N86=0,0,Parameters!$B$8/N86)</f>
        <v>64.5161290322581</v>
      </c>
      <c r="Q86" s="28" t="n">
        <f aca="false">N86/Parameters!$B$8</f>
        <v>0.0155</v>
      </c>
    </row>
    <row r="87" customFormat="false" ht="15" hidden="false" customHeight="true" outlineLevel="0" collapsed="false">
      <c r="A87" s="13" t="s">
        <v>192</v>
      </c>
      <c r="B87" s="13" t="n">
        <v>3</v>
      </c>
      <c r="C87" s="13" t="n">
        <v>6</v>
      </c>
      <c r="D87" s="13" t="s">
        <v>136</v>
      </c>
      <c r="E87" s="13" t="n">
        <v>3</v>
      </c>
      <c r="F87" s="18" t="n">
        <v>100</v>
      </c>
      <c r="G87" s="13" t="n">
        <v>5.44</v>
      </c>
      <c r="H87" s="13" t="n">
        <v>24.9</v>
      </c>
      <c r="I87" s="13" t="n">
        <v>6.58</v>
      </c>
      <c r="J87" s="13" t="n">
        <v>0</v>
      </c>
      <c r="K87" s="13" t="n">
        <v>0</v>
      </c>
      <c r="L87" s="13" t="n">
        <v>91</v>
      </c>
      <c r="M87" s="13" t="n">
        <v>3</v>
      </c>
      <c r="N87" s="16" t="n">
        <f aca="false">H87*Parameters!$B$6/60</f>
        <v>0.64325</v>
      </c>
      <c r="O87" s="18" t="n">
        <f aca="false">IF(G87=0,0,H87/G87)</f>
        <v>4.57720588235294</v>
      </c>
      <c r="P87" s="18" t="n">
        <f aca="false">IF(N87=0,0,Parameters!$B$8/N87)</f>
        <v>73.0664593859308</v>
      </c>
      <c r="Q87" s="28" t="n">
        <f aca="false">N87/Parameters!$B$8</f>
        <v>0.013686170212766</v>
      </c>
    </row>
    <row r="88" customFormat="false" ht="15" hidden="false" customHeight="true" outlineLevel="0" collapsed="false">
      <c r="A88" s="13" t="s">
        <v>192</v>
      </c>
      <c r="B88" s="13" t="n">
        <v>3</v>
      </c>
      <c r="C88" s="13" t="n">
        <v>6</v>
      </c>
      <c r="D88" s="13" t="s">
        <v>136</v>
      </c>
      <c r="E88" s="13" t="n">
        <v>4</v>
      </c>
      <c r="F88" s="18" t="n">
        <v>100</v>
      </c>
      <c r="G88" s="13" t="n">
        <v>5</v>
      </c>
      <c r="H88" s="13" t="n">
        <v>23.5</v>
      </c>
      <c r="I88" s="13" t="n">
        <v>6.89</v>
      </c>
      <c r="J88" s="13" t="n">
        <v>0</v>
      </c>
      <c r="K88" s="13" t="n">
        <v>0</v>
      </c>
      <c r="L88" s="13" t="n">
        <v>81</v>
      </c>
      <c r="M88" s="13" t="n">
        <v>3</v>
      </c>
      <c r="N88" s="16" t="n">
        <f aca="false">H88*Parameters!$B$6/60</f>
        <v>0.607083333333333</v>
      </c>
      <c r="O88" s="18" t="n">
        <f aca="false">IF(G88=0,0,H88/G88)</f>
        <v>4.7</v>
      </c>
      <c r="P88" s="18" t="n">
        <f aca="false">IF(N88=0,0,Parameters!$B$8/N88)</f>
        <v>77.4193548387097</v>
      </c>
      <c r="Q88" s="28" t="n">
        <f aca="false">N88/Parameters!$B$8</f>
        <v>0.0129166666666667</v>
      </c>
    </row>
    <row r="89" customFormat="false" ht="15" hidden="false" customHeight="true" outlineLevel="0" collapsed="false">
      <c r="A89" s="13" t="s">
        <v>192</v>
      </c>
      <c r="B89" s="13" t="n">
        <v>3</v>
      </c>
      <c r="C89" s="13" t="n">
        <v>6</v>
      </c>
      <c r="D89" s="13" t="s">
        <v>137</v>
      </c>
      <c r="E89" s="13" t="n">
        <v>2</v>
      </c>
      <c r="F89" s="18" t="n">
        <v>100</v>
      </c>
      <c r="G89" s="13" t="n">
        <v>4</v>
      </c>
      <c r="H89" s="13" t="n">
        <v>19.9</v>
      </c>
      <c r="I89" s="13" t="n">
        <v>2</v>
      </c>
      <c r="J89" s="13" t="n">
        <v>0</v>
      </c>
      <c r="K89" s="13" t="n">
        <v>3</v>
      </c>
      <c r="L89" s="13" t="n">
        <v>68</v>
      </c>
      <c r="M89" s="13" t="n">
        <v>3</v>
      </c>
      <c r="N89" s="16" t="n">
        <f aca="false">H89*Parameters!$B$6/60</f>
        <v>0.514083333333333</v>
      </c>
      <c r="O89" s="18" t="n">
        <f aca="false">IF(G89=0,0,H89/G89)</f>
        <v>4.975</v>
      </c>
      <c r="P89" s="18" t="n">
        <f aca="false">IF(N89=0,0,Parameters!$B$8/N89)</f>
        <v>91.424866266818</v>
      </c>
      <c r="Q89" s="28" t="n">
        <f aca="false">N89/Parameters!$B$8</f>
        <v>0.0109379432624113</v>
      </c>
    </row>
    <row r="90" customFormat="false" ht="15" hidden="false" customHeight="true" outlineLevel="0" collapsed="false">
      <c r="A90" s="13" t="s">
        <v>192</v>
      </c>
      <c r="B90" s="13" t="n">
        <v>3</v>
      </c>
      <c r="C90" s="13" t="n">
        <v>6</v>
      </c>
      <c r="D90" s="13" t="s">
        <v>137</v>
      </c>
      <c r="E90" s="13" t="n">
        <v>3</v>
      </c>
      <c r="F90" s="18" t="n">
        <v>100</v>
      </c>
      <c r="G90" s="13" t="n">
        <v>4</v>
      </c>
      <c r="H90" s="13" t="n">
        <v>19.9</v>
      </c>
      <c r="I90" s="13" t="n">
        <v>2</v>
      </c>
      <c r="J90" s="13" t="n">
        <v>0</v>
      </c>
      <c r="K90" s="13" t="n">
        <v>3</v>
      </c>
      <c r="L90" s="13" t="n">
        <v>68</v>
      </c>
      <c r="M90" s="13" t="n">
        <v>3</v>
      </c>
      <c r="N90" s="16" t="n">
        <f aca="false">H90*Parameters!$B$6/60</f>
        <v>0.514083333333333</v>
      </c>
      <c r="O90" s="18" t="n">
        <f aca="false">IF(G90=0,0,H90/G90)</f>
        <v>4.975</v>
      </c>
      <c r="P90" s="18" t="n">
        <f aca="false">IF(N90=0,0,Parameters!$B$8/N90)</f>
        <v>91.424866266818</v>
      </c>
      <c r="Q90" s="28" t="n">
        <f aca="false">N90/Parameters!$B$8</f>
        <v>0.0109379432624113</v>
      </c>
    </row>
    <row r="91" customFormat="false" ht="15" hidden="false" customHeight="true" outlineLevel="0" collapsed="false">
      <c r="A91" s="13" t="s">
        <v>192</v>
      </c>
      <c r="B91" s="13" t="n">
        <v>3</v>
      </c>
      <c r="C91" s="13" t="n">
        <v>6</v>
      </c>
      <c r="D91" s="13" t="s">
        <v>137</v>
      </c>
      <c r="E91" s="13" t="n">
        <v>4</v>
      </c>
      <c r="F91" s="18" t="n">
        <v>100</v>
      </c>
      <c r="G91" s="13" t="n">
        <v>3</v>
      </c>
      <c r="H91" s="13" t="n">
        <v>17</v>
      </c>
      <c r="I91" s="13" t="n">
        <v>2</v>
      </c>
      <c r="J91" s="13" t="n">
        <v>0</v>
      </c>
      <c r="K91" s="13" t="n">
        <v>3</v>
      </c>
      <c r="L91" s="13" t="n">
        <v>69</v>
      </c>
      <c r="M91" s="13" t="n">
        <v>3</v>
      </c>
      <c r="N91" s="16" t="n">
        <f aca="false">H91*Parameters!$B$6/60</f>
        <v>0.439166666666667</v>
      </c>
      <c r="O91" s="18" t="n">
        <f aca="false">IF(G91=0,0,H91/G91)</f>
        <v>5.66666666666667</v>
      </c>
      <c r="P91" s="18" t="n">
        <f aca="false">IF(N91=0,0,Parameters!$B$8/N91)</f>
        <v>107.020872865275</v>
      </c>
      <c r="Q91" s="28" t="n">
        <f aca="false">N91/Parameters!$B$8</f>
        <v>0.00934397163120567</v>
      </c>
    </row>
    <row r="92" customFormat="false" ht="15" hidden="false" customHeight="true" outlineLevel="0" collapsed="false">
      <c r="A92" s="13" t="s">
        <v>192</v>
      </c>
      <c r="B92" s="13" t="n">
        <v>3</v>
      </c>
      <c r="C92" s="13" t="n">
        <v>12</v>
      </c>
      <c r="D92" s="13" t="s">
        <v>134</v>
      </c>
      <c r="E92" s="13" t="n">
        <v>0</v>
      </c>
      <c r="F92" s="18" t="n">
        <v>0</v>
      </c>
      <c r="G92" s="13" t="n">
        <v>11.26</v>
      </c>
      <c r="H92" s="13" t="n">
        <v>58</v>
      </c>
      <c r="I92" s="13" t="n">
        <v>7.62</v>
      </c>
      <c r="J92" s="13" t="n">
        <v>0</v>
      </c>
      <c r="K92" s="13" t="n">
        <v>0</v>
      </c>
      <c r="L92" s="13" t="n">
        <v>470</v>
      </c>
      <c r="M92" s="13" t="n">
        <v>3</v>
      </c>
      <c r="N92" s="16" t="n">
        <f aca="false">H92*Parameters!$B$6/60</f>
        <v>1.49833333333333</v>
      </c>
      <c r="O92" s="18" t="n">
        <f aca="false">IF(G92=0,0,H92/G92)</f>
        <v>5.15097690941385</v>
      </c>
      <c r="P92" s="18" t="n">
        <f aca="false">IF(N92=0,0,Parameters!$B$8/N92)</f>
        <v>31.3681868743048</v>
      </c>
      <c r="Q92" s="28" t="n">
        <f aca="false">N92/Parameters!$B$8</f>
        <v>0.0318794326241135</v>
      </c>
    </row>
    <row r="93" customFormat="false" ht="15" hidden="false" customHeight="true" outlineLevel="0" collapsed="false">
      <c r="A93" s="13" t="s">
        <v>192</v>
      </c>
      <c r="B93" s="13" t="n">
        <v>3</v>
      </c>
      <c r="C93" s="13" t="n">
        <v>12</v>
      </c>
      <c r="D93" s="13" t="s">
        <v>135</v>
      </c>
      <c r="E93" s="13" t="n">
        <v>2</v>
      </c>
      <c r="F93" s="18" t="n">
        <v>0</v>
      </c>
      <c r="G93" s="13" t="n">
        <v>11.26</v>
      </c>
      <c r="H93" s="13" t="n">
        <v>58</v>
      </c>
      <c r="I93" s="13" t="n">
        <v>7.62</v>
      </c>
      <c r="J93" s="13" t="n">
        <v>7.48</v>
      </c>
      <c r="K93" s="13" t="n">
        <v>0</v>
      </c>
      <c r="L93" s="13" t="n">
        <v>470</v>
      </c>
      <c r="M93" s="13" t="n">
        <v>3</v>
      </c>
      <c r="N93" s="16" t="n">
        <f aca="false">H93*Parameters!$B$6/60</f>
        <v>1.49833333333333</v>
      </c>
      <c r="O93" s="18" t="n">
        <f aca="false">IF(G93=0,0,H93/G93)</f>
        <v>5.15097690941385</v>
      </c>
      <c r="P93" s="18" t="n">
        <f aca="false">IF(N93=0,0,Parameters!$B$8/N93)</f>
        <v>31.3681868743048</v>
      </c>
      <c r="Q93" s="28" t="n">
        <f aca="false">N93/Parameters!$B$8</f>
        <v>0.0318794326241135</v>
      </c>
    </row>
    <row r="94" customFormat="false" ht="15" hidden="false" customHeight="true" outlineLevel="0" collapsed="false">
      <c r="A94" s="13" t="s">
        <v>192</v>
      </c>
      <c r="B94" s="13" t="n">
        <v>3</v>
      </c>
      <c r="C94" s="13" t="n">
        <v>12</v>
      </c>
      <c r="D94" s="13" t="s">
        <v>135</v>
      </c>
      <c r="E94" s="13" t="n">
        <v>3</v>
      </c>
      <c r="F94" s="18" t="n">
        <v>0</v>
      </c>
      <c r="G94" s="13" t="n">
        <v>11.26</v>
      </c>
      <c r="H94" s="13" t="n">
        <v>58</v>
      </c>
      <c r="I94" s="13" t="n">
        <v>7.62</v>
      </c>
      <c r="J94" s="13" t="n">
        <v>14.53</v>
      </c>
      <c r="K94" s="13" t="n">
        <v>0</v>
      </c>
      <c r="L94" s="13" t="n">
        <v>470</v>
      </c>
      <c r="M94" s="13" t="n">
        <v>3</v>
      </c>
      <c r="N94" s="16" t="n">
        <f aca="false">H94*Parameters!$B$6/60</f>
        <v>1.49833333333333</v>
      </c>
      <c r="O94" s="18" t="n">
        <f aca="false">IF(G94=0,0,H94/G94)</f>
        <v>5.15097690941385</v>
      </c>
      <c r="P94" s="18" t="n">
        <f aca="false">IF(N94=0,0,Parameters!$B$8/N94)</f>
        <v>31.3681868743048</v>
      </c>
      <c r="Q94" s="28" t="n">
        <f aca="false">N94/Parameters!$B$8</f>
        <v>0.0318794326241135</v>
      </c>
    </row>
    <row r="95" customFormat="false" ht="15" hidden="false" customHeight="true" outlineLevel="0" collapsed="false">
      <c r="A95" s="13" t="s">
        <v>192</v>
      </c>
      <c r="B95" s="13" t="n">
        <v>3</v>
      </c>
      <c r="C95" s="13" t="n">
        <v>12</v>
      </c>
      <c r="D95" s="13" t="s">
        <v>135</v>
      </c>
      <c r="E95" s="13" t="n">
        <v>4</v>
      </c>
      <c r="F95" s="18" t="n">
        <v>0</v>
      </c>
      <c r="G95" s="13" t="n">
        <v>11.26</v>
      </c>
      <c r="H95" s="13" t="n">
        <v>58</v>
      </c>
      <c r="I95" s="13" t="n">
        <v>7.62</v>
      </c>
      <c r="J95" s="13" t="n">
        <v>20.41</v>
      </c>
      <c r="K95" s="13" t="n">
        <v>0</v>
      </c>
      <c r="L95" s="13" t="n">
        <v>470</v>
      </c>
      <c r="M95" s="13" t="n">
        <v>3</v>
      </c>
      <c r="N95" s="16" t="n">
        <f aca="false">H95*Parameters!$B$6/60</f>
        <v>1.49833333333333</v>
      </c>
      <c r="O95" s="18" t="n">
        <f aca="false">IF(G95=0,0,H95/G95)</f>
        <v>5.15097690941385</v>
      </c>
      <c r="P95" s="18" t="n">
        <f aca="false">IF(N95=0,0,Parameters!$B$8/N95)</f>
        <v>31.3681868743048</v>
      </c>
      <c r="Q95" s="28" t="n">
        <f aca="false">N95/Parameters!$B$8</f>
        <v>0.0318794326241135</v>
      </c>
    </row>
    <row r="96" customFormat="false" ht="15" hidden="false" customHeight="true" outlineLevel="0" collapsed="false">
      <c r="A96" s="13" t="s">
        <v>192</v>
      </c>
      <c r="B96" s="13" t="n">
        <v>3</v>
      </c>
      <c r="C96" s="13" t="n">
        <v>12</v>
      </c>
      <c r="D96" s="13" t="s">
        <v>136</v>
      </c>
      <c r="E96" s="13" t="n">
        <v>2</v>
      </c>
      <c r="F96" s="18" t="n">
        <v>87.2</v>
      </c>
      <c r="G96" s="13" t="n">
        <v>13.42</v>
      </c>
      <c r="H96" s="13" t="n">
        <v>60</v>
      </c>
      <c r="I96" s="13" t="n">
        <v>13.09</v>
      </c>
      <c r="J96" s="13" t="n">
        <v>0</v>
      </c>
      <c r="K96" s="13" t="n">
        <v>0</v>
      </c>
      <c r="L96" s="13" t="n">
        <v>363</v>
      </c>
      <c r="M96" s="13" t="n">
        <v>3</v>
      </c>
      <c r="N96" s="16" t="n">
        <f aca="false">H96*Parameters!$B$6/60</f>
        <v>1.55</v>
      </c>
      <c r="O96" s="18" t="n">
        <f aca="false">IF(G96=0,0,H96/G96)</f>
        <v>4.47093889716841</v>
      </c>
      <c r="P96" s="18" t="n">
        <f aca="false">IF(N96=0,0,Parameters!$B$8/N96)</f>
        <v>30.3225806451613</v>
      </c>
      <c r="Q96" s="28" t="n">
        <f aca="false">N96/Parameters!$B$8</f>
        <v>0.0329787234042553</v>
      </c>
    </row>
    <row r="97" customFormat="false" ht="15" hidden="false" customHeight="true" outlineLevel="0" collapsed="false">
      <c r="A97" s="13" t="s">
        <v>192</v>
      </c>
      <c r="B97" s="13" t="n">
        <v>3</v>
      </c>
      <c r="C97" s="13" t="n">
        <v>12</v>
      </c>
      <c r="D97" s="13" t="s">
        <v>136</v>
      </c>
      <c r="E97" s="13" t="n">
        <v>3</v>
      </c>
      <c r="F97" s="18" t="n">
        <v>100</v>
      </c>
      <c r="G97" s="13" t="n">
        <v>11.42</v>
      </c>
      <c r="H97" s="13" t="n">
        <v>53.1</v>
      </c>
      <c r="I97" s="13" t="n">
        <v>13.29</v>
      </c>
      <c r="J97" s="13" t="n">
        <v>0</v>
      </c>
      <c r="K97" s="13" t="n">
        <v>0</v>
      </c>
      <c r="L97" s="13" t="n">
        <v>297</v>
      </c>
      <c r="M97" s="13" t="n">
        <v>3</v>
      </c>
      <c r="N97" s="16" t="n">
        <f aca="false">H97*Parameters!$B$6/60</f>
        <v>1.37175</v>
      </c>
      <c r="O97" s="18" t="n">
        <f aca="false">IF(G97=0,0,H97/G97)</f>
        <v>4.64973730297723</v>
      </c>
      <c r="P97" s="18" t="n">
        <f aca="false">IF(N97=0,0,Parameters!$B$8/N97)</f>
        <v>34.2628029888828</v>
      </c>
      <c r="Q97" s="28" t="n">
        <f aca="false">N97/Parameters!$B$8</f>
        <v>0.029186170212766</v>
      </c>
    </row>
    <row r="98" customFormat="false" ht="15" hidden="false" customHeight="true" outlineLevel="0" collapsed="false">
      <c r="A98" s="13" t="s">
        <v>192</v>
      </c>
      <c r="B98" s="13" t="n">
        <v>3</v>
      </c>
      <c r="C98" s="13" t="n">
        <v>12</v>
      </c>
      <c r="D98" s="13" t="s">
        <v>136</v>
      </c>
      <c r="E98" s="13" t="n">
        <v>4</v>
      </c>
      <c r="F98" s="18" t="n">
        <v>100</v>
      </c>
      <c r="G98" s="13" t="n">
        <v>11.07</v>
      </c>
      <c r="H98" s="13" t="n">
        <v>51.6</v>
      </c>
      <c r="I98" s="13" t="n">
        <v>13.29</v>
      </c>
      <c r="J98" s="13" t="n">
        <v>0</v>
      </c>
      <c r="K98" s="13" t="n">
        <v>0</v>
      </c>
      <c r="L98" s="13" t="n">
        <v>283</v>
      </c>
      <c r="M98" s="13" t="n">
        <v>3</v>
      </c>
      <c r="N98" s="16" t="n">
        <f aca="false">H98*Parameters!$B$6/60</f>
        <v>1.333</v>
      </c>
      <c r="O98" s="18" t="n">
        <f aca="false">IF(G98=0,0,H98/G98)</f>
        <v>4.66124661246612</v>
      </c>
      <c r="P98" s="18" t="n">
        <f aca="false">IF(N98=0,0,Parameters!$B$8/N98)</f>
        <v>35.2588147036759</v>
      </c>
      <c r="Q98" s="28" t="n">
        <f aca="false">N98/Parameters!$B$8</f>
        <v>0.0283617021276596</v>
      </c>
    </row>
    <row r="99" customFormat="false" ht="15" hidden="false" customHeight="true" outlineLevel="0" collapsed="false">
      <c r="A99" s="13" t="s">
        <v>192</v>
      </c>
      <c r="B99" s="13" t="n">
        <v>3</v>
      </c>
      <c r="C99" s="13" t="n">
        <v>12</v>
      </c>
      <c r="D99" s="13" t="s">
        <v>137</v>
      </c>
      <c r="E99" s="13" t="n">
        <v>2</v>
      </c>
      <c r="F99" s="18" t="n">
        <v>74</v>
      </c>
      <c r="G99" s="13" t="n">
        <v>13.48</v>
      </c>
      <c r="H99" s="13" t="n">
        <v>63.3</v>
      </c>
      <c r="I99" s="13" t="n">
        <v>6.18</v>
      </c>
      <c r="J99" s="13" t="n">
        <v>0</v>
      </c>
      <c r="K99" s="13" t="n">
        <v>3</v>
      </c>
      <c r="L99" s="13" t="n">
        <v>410</v>
      </c>
      <c r="M99" s="13" t="n">
        <v>3</v>
      </c>
      <c r="N99" s="16" t="n">
        <f aca="false">H99*Parameters!$B$6/60</f>
        <v>1.63525</v>
      </c>
      <c r="O99" s="18" t="n">
        <f aca="false">IF(G99=0,0,H99/G99)</f>
        <v>4.69584569732938</v>
      </c>
      <c r="P99" s="18" t="n">
        <f aca="false">IF(N99=0,0,Parameters!$B$8/N99)</f>
        <v>28.7417826020486</v>
      </c>
      <c r="Q99" s="28" t="n">
        <f aca="false">N99/Parameters!$B$8</f>
        <v>0.0347925531914894</v>
      </c>
    </row>
    <row r="100" customFormat="false" ht="15" hidden="false" customHeight="true" outlineLevel="0" collapsed="false">
      <c r="A100" s="13" t="s">
        <v>192</v>
      </c>
      <c r="B100" s="13" t="n">
        <v>3</v>
      </c>
      <c r="C100" s="13" t="n">
        <v>12</v>
      </c>
      <c r="D100" s="13" t="s">
        <v>137</v>
      </c>
      <c r="E100" s="13" t="n">
        <v>3</v>
      </c>
      <c r="F100" s="18" t="n">
        <v>45.2</v>
      </c>
      <c r="G100" s="13" t="n">
        <v>13.62</v>
      </c>
      <c r="H100" s="13" t="n">
        <v>63.7</v>
      </c>
      <c r="I100" s="13" t="n">
        <v>5.83</v>
      </c>
      <c r="J100" s="13" t="n">
        <v>0</v>
      </c>
      <c r="K100" s="13" t="n">
        <v>3</v>
      </c>
      <c r="L100" s="13" t="n">
        <v>448</v>
      </c>
      <c r="M100" s="13" t="n">
        <v>3</v>
      </c>
      <c r="N100" s="16" t="n">
        <f aca="false">H100*Parameters!$B$6/60</f>
        <v>1.64558333333333</v>
      </c>
      <c r="O100" s="18" t="n">
        <f aca="false">IF(G100=0,0,H100/G100)</f>
        <v>4.6769456681351</v>
      </c>
      <c r="P100" s="18" t="n">
        <f aca="false">IF(N100=0,0,Parameters!$B$8/N100)</f>
        <v>28.5613004507014</v>
      </c>
      <c r="Q100" s="28" t="n">
        <f aca="false">N100/Parameters!$B$8</f>
        <v>0.0350124113475177</v>
      </c>
    </row>
    <row r="101" customFormat="false" ht="15" hidden="false" customHeight="true" outlineLevel="0" collapsed="false">
      <c r="A101" s="13" t="s">
        <v>192</v>
      </c>
      <c r="B101" s="13" t="n">
        <v>3</v>
      </c>
      <c r="C101" s="13" t="n">
        <v>12</v>
      </c>
      <c r="D101" s="13" t="s">
        <v>137</v>
      </c>
      <c r="E101" s="13" t="n">
        <v>4</v>
      </c>
      <c r="F101" s="18" t="n">
        <v>34</v>
      </c>
      <c r="G101" s="13" t="n">
        <v>13.39</v>
      </c>
      <c r="H101" s="13" t="n">
        <v>63.4</v>
      </c>
      <c r="I101" s="13" t="n">
        <v>4.75</v>
      </c>
      <c r="J101" s="13" t="n">
        <v>0</v>
      </c>
      <c r="K101" s="13" t="n">
        <v>3</v>
      </c>
      <c r="L101" s="13" t="n">
        <v>454</v>
      </c>
      <c r="M101" s="13" t="n">
        <v>3</v>
      </c>
      <c r="N101" s="16" t="n">
        <f aca="false">H101*Parameters!$B$6/60</f>
        <v>1.63783333333333</v>
      </c>
      <c r="O101" s="18" t="n">
        <f aca="false">IF(G101=0,0,H101/G101)</f>
        <v>4.73487677371173</v>
      </c>
      <c r="P101" s="18" t="n">
        <f aca="false">IF(N101=0,0,Parameters!$B$8/N101)</f>
        <v>28.6964485600896</v>
      </c>
      <c r="Q101" s="28" t="n">
        <f aca="false">N101/Parameters!$B$8</f>
        <v>0.0348475177304965</v>
      </c>
    </row>
    <row r="102" customFormat="false" ht="15" hidden="false" customHeight="true" outlineLevel="0" collapsed="false">
      <c r="A102" s="13" t="s">
        <v>192</v>
      </c>
      <c r="B102" s="13" t="n">
        <v>3</v>
      </c>
      <c r="C102" s="13" t="n">
        <v>20</v>
      </c>
      <c r="D102" s="13" t="s">
        <v>134</v>
      </c>
      <c r="E102" s="13" t="n">
        <v>0</v>
      </c>
      <c r="F102" s="18" t="n">
        <v>0</v>
      </c>
      <c r="G102" s="13" t="n">
        <v>11.32</v>
      </c>
      <c r="H102" s="13" t="n">
        <v>57.6</v>
      </c>
      <c r="I102" s="13" t="n">
        <v>7.08</v>
      </c>
      <c r="J102" s="13" t="n">
        <v>0</v>
      </c>
      <c r="K102" s="13" t="n">
        <v>0</v>
      </c>
      <c r="L102" s="13" t="n">
        <v>474</v>
      </c>
      <c r="M102" s="13" t="n">
        <v>3</v>
      </c>
      <c r="N102" s="16" t="n">
        <f aca="false">H102*Parameters!$B$6/60</f>
        <v>1.488</v>
      </c>
      <c r="O102" s="18" t="n">
        <f aca="false">IF(G102=0,0,H102/G102)</f>
        <v>5.08833922261484</v>
      </c>
      <c r="P102" s="18" t="n">
        <f aca="false">IF(N102=0,0,Parameters!$B$8/N102)</f>
        <v>31.5860215053763</v>
      </c>
      <c r="Q102" s="28" t="n">
        <f aca="false">N102/Parameters!$B$8</f>
        <v>0.0316595744680851</v>
      </c>
    </row>
    <row r="103" customFormat="false" ht="15" hidden="false" customHeight="true" outlineLevel="0" collapsed="false">
      <c r="A103" s="13" t="s">
        <v>192</v>
      </c>
      <c r="B103" s="13" t="n">
        <v>3</v>
      </c>
      <c r="C103" s="13" t="n">
        <v>20</v>
      </c>
      <c r="D103" s="13" t="s">
        <v>135</v>
      </c>
      <c r="E103" s="13" t="n">
        <v>2</v>
      </c>
      <c r="F103" s="18" t="n">
        <v>0</v>
      </c>
      <c r="G103" s="13" t="n">
        <v>11.23</v>
      </c>
      <c r="H103" s="13" t="n">
        <v>57.5</v>
      </c>
      <c r="I103" s="13" t="n">
        <v>7.78</v>
      </c>
      <c r="J103" s="13" t="n">
        <v>7.62</v>
      </c>
      <c r="K103" s="13" t="n">
        <v>0</v>
      </c>
      <c r="L103" s="13" t="n">
        <v>473</v>
      </c>
      <c r="M103" s="13" t="n">
        <v>3</v>
      </c>
      <c r="N103" s="16" t="n">
        <f aca="false">H103*Parameters!$B$6/60</f>
        <v>1.48541666666667</v>
      </c>
      <c r="O103" s="18" t="n">
        <f aca="false">IF(G103=0,0,H103/G103)</f>
        <v>5.12021371326803</v>
      </c>
      <c r="P103" s="18" t="n">
        <f aca="false">IF(N103=0,0,Parameters!$B$8/N103)</f>
        <v>31.64095371669</v>
      </c>
      <c r="Q103" s="28" t="n">
        <f aca="false">N103/Parameters!$B$8</f>
        <v>0.031604609929078</v>
      </c>
    </row>
    <row r="104" customFormat="false" ht="15" hidden="false" customHeight="true" outlineLevel="0" collapsed="false">
      <c r="A104" s="13" t="s">
        <v>192</v>
      </c>
      <c r="B104" s="13" t="n">
        <v>3</v>
      </c>
      <c r="C104" s="13" t="n">
        <v>20</v>
      </c>
      <c r="D104" s="13" t="s">
        <v>135</v>
      </c>
      <c r="E104" s="13" t="n">
        <v>3</v>
      </c>
      <c r="F104" s="18" t="n">
        <v>0</v>
      </c>
      <c r="G104" s="13" t="n">
        <v>11.26</v>
      </c>
      <c r="H104" s="13" t="n">
        <v>57.4</v>
      </c>
      <c r="I104" s="13" t="n">
        <v>8.2</v>
      </c>
      <c r="J104" s="13" t="n">
        <v>15.61</v>
      </c>
      <c r="K104" s="13" t="n">
        <v>0</v>
      </c>
      <c r="L104" s="13" t="n">
        <v>473</v>
      </c>
      <c r="M104" s="13" t="n">
        <v>3</v>
      </c>
      <c r="N104" s="16" t="n">
        <f aca="false">H104*Parameters!$B$6/60</f>
        <v>1.48283333333333</v>
      </c>
      <c r="O104" s="18" t="n">
        <f aca="false">IF(G104=0,0,H104/G104)</f>
        <v>5.09769094138544</v>
      </c>
      <c r="P104" s="18" t="n">
        <f aca="false">IF(N104=0,0,Parameters!$B$8/N104)</f>
        <v>31.6960773294369</v>
      </c>
      <c r="Q104" s="28" t="n">
        <f aca="false">N104/Parameters!$B$8</f>
        <v>0.0315496453900709</v>
      </c>
    </row>
    <row r="105" customFormat="false" ht="15" hidden="false" customHeight="true" outlineLevel="0" collapsed="false">
      <c r="A105" s="13" t="s">
        <v>192</v>
      </c>
      <c r="B105" s="13" t="n">
        <v>3</v>
      </c>
      <c r="C105" s="13" t="n">
        <v>20</v>
      </c>
      <c r="D105" s="13" t="s">
        <v>135</v>
      </c>
      <c r="E105" s="13" t="n">
        <v>4</v>
      </c>
      <c r="F105" s="18" t="n">
        <v>0</v>
      </c>
      <c r="G105" s="13" t="n">
        <v>11.26</v>
      </c>
      <c r="H105" s="13" t="n">
        <v>57.4</v>
      </c>
      <c r="I105" s="13" t="n">
        <v>8.22</v>
      </c>
      <c r="J105" s="13" t="n">
        <v>22.03</v>
      </c>
      <c r="K105" s="13" t="n">
        <v>0</v>
      </c>
      <c r="L105" s="13" t="n">
        <v>473</v>
      </c>
      <c r="M105" s="13" t="n">
        <v>3</v>
      </c>
      <c r="N105" s="16" t="n">
        <f aca="false">H105*Parameters!$B$6/60</f>
        <v>1.48283333333333</v>
      </c>
      <c r="O105" s="18" t="n">
        <f aca="false">IF(G105=0,0,H105/G105)</f>
        <v>5.09769094138544</v>
      </c>
      <c r="P105" s="18" t="n">
        <f aca="false">IF(N105=0,0,Parameters!$B$8/N105)</f>
        <v>31.6960773294369</v>
      </c>
      <c r="Q105" s="28" t="n">
        <f aca="false">N105/Parameters!$B$8</f>
        <v>0.0315496453900709</v>
      </c>
    </row>
    <row r="106" customFormat="false" ht="15" hidden="false" customHeight="true" outlineLevel="0" collapsed="false">
      <c r="A106" s="13" t="s">
        <v>192</v>
      </c>
      <c r="B106" s="13" t="n">
        <v>3</v>
      </c>
      <c r="C106" s="13" t="n">
        <v>20</v>
      </c>
      <c r="D106" s="13" t="s">
        <v>136</v>
      </c>
      <c r="E106" s="13" t="n">
        <v>2</v>
      </c>
      <c r="F106" s="18" t="n">
        <v>0</v>
      </c>
      <c r="G106" s="13" t="n">
        <v>11.55</v>
      </c>
      <c r="H106" s="13" t="n">
        <v>57.8</v>
      </c>
      <c r="I106" s="13" t="n">
        <v>12.76</v>
      </c>
      <c r="J106" s="13" t="n">
        <v>0</v>
      </c>
      <c r="K106" s="13" t="n">
        <v>0</v>
      </c>
      <c r="L106" s="13" t="n">
        <v>475</v>
      </c>
      <c r="M106" s="13" t="n">
        <v>3</v>
      </c>
      <c r="N106" s="16" t="n">
        <f aca="false">H106*Parameters!$B$6/60</f>
        <v>1.49316666666667</v>
      </c>
      <c r="O106" s="18" t="n">
        <f aca="false">IF(G106=0,0,H106/G106)</f>
        <v>5.004329004329</v>
      </c>
      <c r="P106" s="18" t="n">
        <f aca="false">IF(N106=0,0,Parameters!$B$8/N106)</f>
        <v>31.4767273133162</v>
      </c>
      <c r="Q106" s="28" t="n">
        <f aca="false">N106/Parameters!$B$8</f>
        <v>0.0317695035460993</v>
      </c>
    </row>
    <row r="107" customFormat="false" ht="15" hidden="false" customHeight="true" outlineLevel="0" collapsed="false">
      <c r="A107" s="13" t="s">
        <v>192</v>
      </c>
      <c r="B107" s="13" t="n">
        <v>3</v>
      </c>
      <c r="C107" s="13" t="n">
        <v>20</v>
      </c>
      <c r="D107" s="13" t="s">
        <v>136</v>
      </c>
      <c r="E107" s="13" t="n">
        <v>3</v>
      </c>
      <c r="F107" s="18" t="n">
        <v>0</v>
      </c>
      <c r="G107" s="13" t="n">
        <v>11.92</v>
      </c>
      <c r="H107" s="13" t="n">
        <v>58</v>
      </c>
      <c r="I107" s="13" t="n">
        <v>16.27</v>
      </c>
      <c r="J107" s="13" t="n">
        <v>0</v>
      </c>
      <c r="K107" s="13" t="n">
        <v>0</v>
      </c>
      <c r="L107" s="13" t="n">
        <v>479</v>
      </c>
      <c r="M107" s="13" t="n">
        <v>3</v>
      </c>
      <c r="N107" s="16" t="n">
        <f aca="false">H107*Parameters!$B$6/60</f>
        <v>1.49833333333333</v>
      </c>
      <c r="O107" s="18" t="n">
        <f aca="false">IF(G107=0,0,H107/G107)</f>
        <v>4.86577181208054</v>
      </c>
      <c r="P107" s="18" t="n">
        <f aca="false">IF(N107=0,0,Parameters!$B$8/N107)</f>
        <v>31.3681868743048</v>
      </c>
      <c r="Q107" s="28" t="n">
        <f aca="false">N107/Parameters!$B$8</f>
        <v>0.0318794326241135</v>
      </c>
    </row>
    <row r="108" customFormat="false" ht="15" hidden="false" customHeight="true" outlineLevel="0" collapsed="false">
      <c r="A108" s="13" t="s">
        <v>192</v>
      </c>
      <c r="B108" s="13" t="n">
        <v>3</v>
      </c>
      <c r="C108" s="13" t="n">
        <v>20</v>
      </c>
      <c r="D108" s="13" t="s">
        <v>136</v>
      </c>
      <c r="E108" s="13" t="n">
        <v>4</v>
      </c>
      <c r="F108" s="18" t="n">
        <v>0</v>
      </c>
      <c r="G108" s="13" t="n">
        <v>12.03</v>
      </c>
      <c r="H108" s="13" t="n">
        <v>57.9</v>
      </c>
      <c r="I108" s="13" t="n">
        <v>16.76</v>
      </c>
      <c r="J108" s="13" t="n">
        <v>0</v>
      </c>
      <c r="K108" s="13" t="n">
        <v>0</v>
      </c>
      <c r="L108" s="13" t="n">
        <v>480</v>
      </c>
      <c r="M108" s="13" t="n">
        <v>3</v>
      </c>
      <c r="N108" s="16" t="n">
        <f aca="false">H108*Parameters!$B$6/60</f>
        <v>1.49575</v>
      </c>
      <c r="O108" s="18" t="n">
        <f aca="false">IF(G108=0,0,H108/G108)</f>
        <v>4.81296758104738</v>
      </c>
      <c r="P108" s="18" t="n">
        <f aca="false">IF(N108=0,0,Parameters!$B$8/N108)</f>
        <v>31.4223633628614</v>
      </c>
      <c r="Q108" s="28" t="n">
        <f aca="false">N108/Parameters!$B$8</f>
        <v>0.0318244680851064</v>
      </c>
    </row>
    <row r="109" customFormat="false" ht="15" hidden="false" customHeight="true" outlineLevel="0" collapsed="false">
      <c r="A109" s="13" t="s">
        <v>192</v>
      </c>
      <c r="B109" s="13" t="n">
        <v>3</v>
      </c>
      <c r="C109" s="13" t="n">
        <v>20</v>
      </c>
      <c r="D109" s="13" t="s">
        <v>137</v>
      </c>
      <c r="E109" s="13" t="n">
        <v>2</v>
      </c>
      <c r="F109" s="18" t="n">
        <v>0</v>
      </c>
      <c r="G109" s="13" t="n">
        <v>11.32</v>
      </c>
      <c r="H109" s="13" t="n">
        <v>60.2</v>
      </c>
      <c r="I109" s="13" t="n">
        <v>6.34</v>
      </c>
      <c r="J109" s="13" t="n">
        <v>0</v>
      </c>
      <c r="K109" s="13" t="n">
        <v>3</v>
      </c>
      <c r="L109" s="13" t="n">
        <v>473</v>
      </c>
      <c r="M109" s="13" t="n">
        <v>3</v>
      </c>
      <c r="N109" s="16" t="n">
        <f aca="false">H109*Parameters!$B$6/60</f>
        <v>1.55516666666667</v>
      </c>
      <c r="O109" s="18" t="n">
        <f aca="false">IF(G109=0,0,H109/G109)</f>
        <v>5.31802120141343</v>
      </c>
      <c r="P109" s="18" t="n">
        <f aca="false">IF(N109=0,0,Parameters!$B$8/N109)</f>
        <v>30.2218411745794</v>
      </c>
      <c r="Q109" s="28" t="n">
        <f aca="false">N109/Parameters!$B$8</f>
        <v>0.0330886524822695</v>
      </c>
    </row>
    <row r="110" customFormat="false" ht="15" hidden="false" customHeight="true" outlineLevel="0" collapsed="false">
      <c r="A110" s="13" t="s">
        <v>192</v>
      </c>
      <c r="B110" s="13" t="n">
        <v>3</v>
      </c>
      <c r="C110" s="13" t="n">
        <v>20</v>
      </c>
      <c r="D110" s="13" t="s">
        <v>137</v>
      </c>
      <c r="E110" s="13" t="n">
        <v>3</v>
      </c>
      <c r="F110" s="18" t="n">
        <v>0</v>
      </c>
      <c r="G110" s="13" t="n">
        <v>11.38</v>
      </c>
      <c r="H110" s="13" t="n">
        <v>60.3</v>
      </c>
      <c r="I110" s="13" t="n">
        <v>7.26</v>
      </c>
      <c r="J110" s="13" t="n">
        <v>0</v>
      </c>
      <c r="K110" s="13" t="n">
        <v>3</v>
      </c>
      <c r="L110" s="13" t="n">
        <v>473</v>
      </c>
      <c r="M110" s="13" t="n">
        <v>3</v>
      </c>
      <c r="N110" s="16" t="n">
        <f aca="false">H110*Parameters!$B$6/60</f>
        <v>1.55775</v>
      </c>
      <c r="O110" s="18" t="n">
        <f aca="false">IF(G110=0,0,H110/G110)</f>
        <v>5.298769771529</v>
      </c>
      <c r="P110" s="18" t="n">
        <f aca="false">IF(N110=0,0,Parameters!$B$8/N110)</f>
        <v>30.1717220349864</v>
      </c>
      <c r="Q110" s="28" t="n">
        <f aca="false">N110/Parameters!$B$8</f>
        <v>0.0331436170212766</v>
      </c>
    </row>
    <row r="111" customFormat="false" ht="15" hidden="false" customHeight="true" outlineLevel="0" collapsed="false">
      <c r="A111" s="13" t="s">
        <v>192</v>
      </c>
      <c r="B111" s="13" t="n">
        <v>3</v>
      </c>
      <c r="C111" s="13" t="n">
        <v>20</v>
      </c>
      <c r="D111" s="13" t="s">
        <v>137</v>
      </c>
      <c r="E111" s="13" t="n">
        <v>4</v>
      </c>
      <c r="F111" s="18" t="n">
        <v>0</v>
      </c>
      <c r="G111" s="13" t="n">
        <v>11.32</v>
      </c>
      <c r="H111" s="13" t="n">
        <v>60.3</v>
      </c>
      <c r="I111" s="13" t="n">
        <v>4.81</v>
      </c>
      <c r="J111" s="13" t="n">
        <v>0</v>
      </c>
      <c r="K111" s="13" t="n">
        <v>3</v>
      </c>
      <c r="L111" s="13" t="n">
        <v>473</v>
      </c>
      <c r="M111" s="13" t="n">
        <v>3</v>
      </c>
      <c r="N111" s="16" t="n">
        <f aca="false">H111*Parameters!$B$6/60</f>
        <v>1.55775</v>
      </c>
      <c r="O111" s="18" t="n">
        <f aca="false">IF(G111=0,0,H111/G111)</f>
        <v>5.32685512367491</v>
      </c>
      <c r="P111" s="18" t="n">
        <f aca="false">IF(N111=0,0,Parameters!$B$8/N111)</f>
        <v>30.1717220349864</v>
      </c>
      <c r="Q111" s="28" t="n">
        <f aca="false">N111/Parameters!$B$8</f>
        <v>0.0331436170212766</v>
      </c>
    </row>
    <row r="112" customFormat="false" ht="15" hidden="false" customHeight="true" outlineLevel="0" collapsed="false">
      <c r="A112" s="13" t="s">
        <v>192</v>
      </c>
      <c r="B112" s="13" t="n">
        <v>6</v>
      </c>
      <c r="C112" s="13" t="n">
        <v>6</v>
      </c>
      <c r="D112" s="13" t="s">
        <v>134</v>
      </c>
      <c r="E112" s="13" t="n">
        <v>0</v>
      </c>
      <c r="F112" s="18" t="n">
        <v>100</v>
      </c>
      <c r="G112" s="13" t="n">
        <v>8.71</v>
      </c>
      <c r="H112" s="13" t="n">
        <v>49.6</v>
      </c>
      <c r="I112" s="13" t="n">
        <v>6.27</v>
      </c>
      <c r="J112" s="13" t="n">
        <v>0</v>
      </c>
      <c r="K112" s="13" t="n">
        <v>0</v>
      </c>
      <c r="L112" s="13" t="n">
        <v>224</v>
      </c>
      <c r="M112" s="13" t="n">
        <v>6</v>
      </c>
      <c r="N112" s="16" t="n">
        <f aca="false">H112*Parameters!$B$6/60</f>
        <v>1.28133333333333</v>
      </c>
      <c r="O112" s="18" t="n">
        <f aca="false">IF(G112=0,0,H112/G112)</f>
        <v>5.69460390355913</v>
      </c>
      <c r="P112" s="18" t="n">
        <f aca="false">IF(N112=0,0,Parameters!$B$8/N112)</f>
        <v>36.6805411030177</v>
      </c>
      <c r="Q112" s="28" t="n">
        <f aca="false">N112/Parameters!$B$8</f>
        <v>0.0272624113475177</v>
      </c>
    </row>
    <row r="113" customFormat="false" ht="15" hidden="false" customHeight="true" outlineLevel="0" collapsed="false">
      <c r="A113" s="13" t="s">
        <v>192</v>
      </c>
      <c r="B113" s="13" t="n">
        <v>6</v>
      </c>
      <c r="C113" s="13" t="n">
        <v>6</v>
      </c>
      <c r="D113" s="13" t="s">
        <v>135</v>
      </c>
      <c r="E113" s="13" t="n">
        <v>2</v>
      </c>
      <c r="F113" s="18" t="n">
        <v>100</v>
      </c>
      <c r="G113" s="13" t="n">
        <v>8.15</v>
      </c>
      <c r="H113" s="13" t="n">
        <v>47.8</v>
      </c>
      <c r="I113" s="13" t="n">
        <v>6.27</v>
      </c>
      <c r="J113" s="13" t="n">
        <v>6.27</v>
      </c>
      <c r="K113" s="13" t="n">
        <v>0</v>
      </c>
      <c r="L113" s="13" t="n">
        <v>224</v>
      </c>
      <c r="M113" s="13" t="n">
        <v>6</v>
      </c>
      <c r="N113" s="16" t="n">
        <f aca="false">H113*Parameters!$B$6/60</f>
        <v>1.23483333333333</v>
      </c>
      <c r="O113" s="18" t="n">
        <f aca="false">IF(G113=0,0,H113/G113)</f>
        <v>5.86503067484663</v>
      </c>
      <c r="P113" s="18" t="n">
        <f aca="false">IF(N113=0,0,Parameters!$B$8/N113)</f>
        <v>38.0618167094075</v>
      </c>
      <c r="Q113" s="28" t="n">
        <f aca="false">N113/Parameters!$B$8</f>
        <v>0.0262730496453901</v>
      </c>
    </row>
    <row r="114" customFormat="false" ht="15" hidden="false" customHeight="true" outlineLevel="0" collapsed="false">
      <c r="A114" s="13" t="s">
        <v>192</v>
      </c>
      <c r="B114" s="13" t="n">
        <v>6</v>
      </c>
      <c r="C114" s="13" t="n">
        <v>6</v>
      </c>
      <c r="D114" s="13" t="s">
        <v>135</v>
      </c>
      <c r="E114" s="13" t="n">
        <v>3</v>
      </c>
      <c r="F114" s="18" t="n">
        <v>100</v>
      </c>
      <c r="G114" s="13" t="n">
        <v>8.08</v>
      </c>
      <c r="H114" s="13" t="n">
        <v>47.5</v>
      </c>
      <c r="I114" s="13" t="n">
        <v>6.17</v>
      </c>
      <c r="J114" s="13" t="n">
        <v>12.34</v>
      </c>
      <c r="K114" s="13" t="n">
        <v>0</v>
      </c>
      <c r="L114" s="13" t="n">
        <v>224</v>
      </c>
      <c r="M114" s="13" t="n">
        <v>6</v>
      </c>
      <c r="N114" s="16" t="n">
        <f aca="false">H114*Parameters!$B$6/60</f>
        <v>1.22708333333333</v>
      </c>
      <c r="O114" s="18" t="n">
        <f aca="false">IF(G114=0,0,H114/G114)</f>
        <v>5.87871287128713</v>
      </c>
      <c r="P114" s="18" t="n">
        <f aca="false">IF(N114=0,0,Parameters!$B$8/N114)</f>
        <v>38.3022071307301</v>
      </c>
      <c r="Q114" s="28" t="n">
        <f aca="false">N114/Parameters!$B$8</f>
        <v>0.0261081560283688</v>
      </c>
    </row>
    <row r="115" customFormat="false" ht="15" hidden="false" customHeight="true" outlineLevel="0" collapsed="false">
      <c r="A115" s="13" t="s">
        <v>192</v>
      </c>
      <c r="B115" s="13" t="n">
        <v>6</v>
      </c>
      <c r="C115" s="13" t="n">
        <v>6</v>
      </c>
      <c r="D115" s="13" t="s">
        <v>135</v>
      </c>
      <c r="E115" s="13" t="n">
        <v>4</v>
      </c>
      <c r="F115" s="18" t="n">
        <v>100</v>
      </c>
      <c r="G115" s="13" t="n">
        <v>8.02</v>
      </c>
      <c r="H115" s="13" t="n">
        <v>46.6</v>
      </c>
      <c r="I115" s="13" t="n">
        <v>6.17</v>
      </c>
      <c r="J115" s="13" t="n">
        <v>18.32</v>
      </c>
      <c r="K115" s="13" t="n">
        <v>0</v>
      </c>
      <c r="L115" s="13" t="n">
        <v>224</v>
      </c>
      <c r="M115" s="13" t="n">
        <v>6</v>
      </c>
      <c r="N115" s="16" t="n">
        <f aca="false">H115*Parameters!$B$6/60</f>
        <v>1.20383333333333</v>
      </c>
      <c r="O115" s="18" t="n">
        <f aca="false">IF(G115=0,0,H115/G115)</f>
        <v>5.81047381546135</v>
      </c>
      <c r="P115" s="18" t="n">
        <f aca="false">IF(N115=0,0,Parameters!$B$8/N115)</f>
        <v>39.0419493285339</v>
      </c>
      <c r="Q115" s="28" t="n">
        <f aca="false">N115/Parameters!$B$8</f>
        <v>0.025613475177305</v>
      </c>
    </row>
    <row r="116" customFormat="false" ht="15" hidden="false" customHeight="true" outlineLevel="0" collapsed="false">
      <c r="A116" s="13" t="s">
        <v>192</v>
      </c>
      <c r="B116" s="13" t="n">
        <v>6</v>
      </c>
      <c r="C116" s="13" t="n">
        <v>6</v>
      </c>
      <c r="D116" s="13" t="s">
        <v>136</v>
      </c>
      <c r="E116" s="13" t="n">
        <v>2</v>
      </c>
      <c r="F116" s="18" t="n">
        <v>100</v>
      </c>
      <c r="G116" s="13" t="n">
        <v>6</v>
      </c>
      <c r="H116" s="13" t="n">
        <v>32.4</v>
      </c>
      <c r="I116" s="13" t="n">
        <v>6.57</v>
      </c>
      <c r="J116" s="13" t="n">
        <v>0</v>
      </c>
      <c r="K116" s="13" t="n">
        <v>0</v>
      </c>
      <c r="L116" s="13" t="n">
        <v>137</v>
      </c>
      <c r="M116" s="13" t="n">
        <v>6</v>
      </c>
      <c r="N116" s="16" t="n">
        <f aca="false">H116*Parameters!$B$6/60</f>
        <v>0.837</v>
      </c>
      <c r="O116" s="18" t="n">
        <f aca="false">IF(G116=0,0,H116/G116)</f>
        <v>5.4</v>
      </c>
      <c r="P116" s="18" t="n">
        <f aca="false">IF(N116=0,0,Parameters!$B$8/N116)</f>
        <v>56.1529271206691</v>
      </c>
      <c r="Q116" s="28" t="n">
        <f aca="false">N116/Parameters!$B$8</f>
        <v>0.0178085106382979</v>
      </c>
    </row>
    <row r="117" customFormat="false" ht="15" hidden="false" customHeight="true" outlineLevel="0" collapsed="false">
      <c r="A117" s="13" t="s">
        <v>192</v>
      </c>
      <c r="B117" s="13" t="n">
        <v>6</v>
      </c>
      <c r="C117" s="13" t="n">
        <v>6</v>
      </c>
      <c r="D117" s="13" t="s">
        <v>136</v>
      </c>
      <c r="E117" s="13" t="n">
        <v>3</v>
      </c>
      <c r="F117" s="18" t="n">
        <v>100</v>
      </c>
      <c r="G117" s="13" t="n">
        <v>5.44</v>
      </c>
      <c r="H117" s="13" t="n">
        <v>28.8</v>
      </c>
      <c r="I117" s="13" t="n">
        <v>6.58</v>
      </c>
      <c r="J117" s="13" t="n">
        <v>0</v>
      </c>
      <c r="K117" s="13" t="n">
        <v>0</v>
      </c>
      <c r="L117" s="13" t="n">
        <v>118</v>
      </c>
      <c r="M117" s="13" t="n">
        <v>6</v>
      </c>
      <c r="N117" s="16" t="n">
        <f aca="false">H117*Parameters!$B$6/60</f>
        <v>0.744</v>
      </c>
      <c r="O117" s="18" t="n">
        <f aca="false">IF(G117=0,0,H117/G117)</f>
        <v>5.29411764705882</v>
      </c>
      <c r="P117" s="18" t="n">
        <f aca="false">IF(N117=0,0,Parameters!$B$8/N117)</f>
        <v>63.1720430107527</v>
      </c>
      <c r="Q117" s="28" t="n">
        <f aca="false">N117/Parameters!$B$8</f>
        <v>0.0158297872340426</v>
      </c>
    </row>
    <row r="118" customFormat="false" ht="15" hidden="false" customHeight="true" outlineLevel="0" collapsed="false">
      <c r="A118" s="13" t="s">
        <v>192</v>
      </c>
      <c r="B118" s="13" t="n">
        <v>6</v>
      </c>
      <c r="C118" s="13" t="n">
        <v>6</v>
      </c>
      <c r="D118" s="13" t="s">
        <v>136</v>
      </c>
      <c r="E118" s="13" t="n">
        <v>4</v>
      </c>
      <c r="F118" s="18" t="n">
        <v>100</v>
      </c>
      <c r="G118" s="13" t="n">
        <v>5</v>
      </c>
      <c r="H118" s="13" t="n">
        <v>27.4</v>
      </c>
      <c r="I118" s="13" t="n">
        <v>6.89</v>
      </c>
      <c r="J118" s="13" t="n">
        <v>0</v>
      </c>
      <c r="K118" s="13" t="n">
        <v>0</v>
      </c>
      <c r="L118" s="13" t="n">
        <v>108</v>
      </c>
      <c r="M118" s="13" t="n">
        <v>6</v>
      </c>
      <c r="N118" s="16" t="n">
        <f aca="false">H118*Parameters!$B$6/60</f>
        <v>0.707833333333333</v>
      </c>
      <c r="O118" s="18" t="n">
        <f aca="false">IF(G118=0,0,H118/G118)</f>
        <v>5.48</v>
      </c>
      <c r="P118" s="18" t="n">
        <f aca="false">IF(N118=0,0,Parameters!$B$8/N118)</f>
        <v>66.3998116317401</v>
      </c>
      <c r="Q118" s="28" t="n">
        <f aca="false">N118/Parameters!$B$8</f>
        <v>0.0150602836879433</v>
      </c>
    </row>
    <row r="119" customFormat="false" ht="15" hidden="false" customHeight="true" outlineLevel="0" collapsed="false">
      <c r="A119" s="13" t="s">
        <v>192</v>
      </c>
      <c r="B119" s="13" t="n">
        <v>6</v>
      </c>
      <c r="C119" s="13" t="n">
        <v>6</v>
      </c>
      <c r="D119" s="13" t="s">
        <v>137</v>
      </c>
      <c r="E119" s="13" t="n">
        <v>2</v>
      </c>
      <c r="F119" s="18" t="n">
        <v>100</v>
      </c>
      <c r="G119" s="13" t="n">
        <v>4</v>
      </c>
      <c r="H119" s="13" t="n">
        <v>20.2</v>
      </c>
      <c r="I119" s="13" t="n">
        <v>2.48</v>
      </c>
      <c r="J119" s="13" t="n">
        <v>0</v>
      </c>
      <c r="K119" s="13" t="n">
        <v>3</v>
      </c>
      <c r="L119" s="13" t="n">
        <v>64</v>
      </c>
      <c r="M119" s="13" t="n">
        <v>6</v>
      </c>
      <c r="N119" s="16" t="n">
        <f aca="false">H119*Parameters!$B$6/60</f>
        <v>0.521833333333333</v>
      </c>
      <c r="O119" s="18" t="n">
        <f aca="false">IF(G119=0,0,H119/G119)</f>
        <v>5.05</v>
      </c>
      <c r="P119" s="18" t="n">
        <f aca="false">IF(N119=0,0,Parameters!$B$8/N119)</f>
        <v>90.0670712232514</v>
      </c>
      <c r="Q119" s="28" t="n">
        <f aca="false">N119/Parameters!$B$8</f>
        <v>0.0111028368794326</v>
      </c>
    </row>
    <row r="120" customFormat="false" ht="15" hidden="false" customHeight="true" outlineLevel="0" collapsed="false">
      <c r="A120" s="13" t="s">
        <v>192</v>
      </c>
      <c r="B120" s="13" t="n">
        <v>6</v>
      </c>
      <c r="C120" s="13" t="n">
        <v>6</v>
      </c>
      <c r="D120" s="13" t="s">
        <v>137</v>
      </c>
      <c r="E120" s="13" t="n">
        <v>3</v>
      </c>
      <c r="F120" s="18" t="n">
        <v>100</v>
      </c>
      <c r="G120" s="13" t="n">
        <v>3</v>
      </c>
      <c r="H120" s="13" t="n">
        <v>18.6</v>
      </c>
      <c r="I120" s="13" t="n">
        <v>2</v>
      </c>
      <c r="J120" s="13" t="n">
        <v>0</v>
      </c>
      <c r="K120" s="13" t="n">
        <v>3</v>
      </c>
      <c r="L120" s="13" t="n">
        <v>82</v>
      </c>
      <c r="M120" s="13" t="n">
        <v>6</v>
      </c>
      <c r="N120" s="16" t="n">
        <f aca="false">H120*Parameters!$B$6/60</f>
        <v>0.4805</v>
      </c>
      <c r="O120" s="18" t="n">
        <f aca="false">IF(G120=0,0,H120/G120)</f>
        <v>6.2</v>
      </c>
      <c r="P120" s="18" t="n">
        <f aca="false">IF(N120=0,0,Parameters!$B$8/N120)</f>
        <v>97.8147762747138</v>
      </c>
      <c r="Q120" s="28" t="n">
        <f aca="false">N120/Parameters!$B$8</f>
        <v>0.0102234042553192</v>
      </c>
    </row>
    <row r="121" customFormat="false" ht="15" hidden="false" customHeight="true" outlineLevel="0" collapsed="false">
      <c r="A121" s="13" t="s">
        <v>192</v>
      </c>
      <c r="B121" s="13" t="n">
        <v>6</v>
      </c>
      <c r="C121" s="13" t="n">
        <v>6</v>
      </c>
      <c r="D121" s="13" t="s">
        <v>137</v>
      </c>
      <c r="E121" s="13" t="n">
        <v>4</v>
      </c>
      <c r="F121" s="18" t="n">
        <v>100</v>
      </c>
      <c r="G121" s="13" t="n">
        <v>3</v>
      </c>
      <c r="H121" s="13" t="n">
        <v>14.5</v>
      </c>
      <c r="I121" s="13" t="n">
        <v>1</v>
      </c>
      <c r="J121" s="13" t="n">
        <v>0</v>
      </c>
      <c r="K121" s="13" t="n">
        <v>2</v>
      </c>
      <c r="L121" s="13" t="n">
        <v>59</v>
      </c>
      <c r="M121" s="13" t="n">
        <v>6</v>
      </c>
      <c r="N121" s="16" t="n">
        <f aca="false">H121*Parameters!$B$6/60</f>
        <v>0.374583333333333</v>
      </c>
      <c r="O121" s="18" t="n">
        <f aca="false">IF(G121=0,0,H121/G121)</f>
        <v>4.83333333333333</v>
      </c>
      <c r="P121" s="18" t="n">
        <f aca="false">IF(N121=0,0,Parameters!$B$8/N121)</f>
        <v>125.472747497219</v>
      </c>
      <c r="Q121" s="28" t="n">
        <f aca="false">N121/Parameters!$B$8</f>
        <v>0.00796985815602837</v>
      </c>
    </row>
    <row r="122" customFormat="false" ht="15" hidden="false" customHeight="true" outlineLevel="0" collapsed="false">
      <c r="A122" s="13" t="s">
        <v>192</v>
      </c>
      <c r="B122" s="13" t="n">
        <v>6</v>
      </c>
      <c r="C122" s="13" t="n">
        <v>12</v>
      </c>
      <c r="D122" s="13" t="s">
        <v>134</v>
      </c>
      <c r="E122" s="13" t="n">
        <v>0</v>
      </c>
      <c r="F122" s="18" t="n">
        <v>0</v>
      </c>
      <c r="G122" s="13" t="n">
        <v>8.23</v>
      </c>
      <c r="H122" s="13" t="n">
        <v>61.3</v>
      </c>
      <c r="I122" s="13" t="n">
        <v>6.5</v>
      </c>
      <c r="J122" s="13" t="n">
        <v>0</v>
      </c>
      <c r="K122" s="13" t="n">
        <v>0</v>
      </c>
      <c r="L122" s="13" t="n">
        <v>473</v>
      </c>
      <c r="M122" s="13" t="n">
        <v>6</v>
      </c>
      <c r="N122" s="16" t="n">
        <f aca="false">H122*Parameters!$B$6/60</f>
        <v>1.58358333333333</v>
      </c>
      <c r="O122" s="18" t="n">
        <f aca="false">IF(G122=0,0,H122/G122)</f>
        <v>7.44835965978129</v>
      </c>
      <c r="P122" s="18" t="n">
        <f aca="false">IF(N122=0,0,Parameters!$B$8/N122)</f>
        <v>29.6795242856391</v>
      </c>
      <c r="Q122" s="28" t="n">
        <f aca="false">N122/Parameters!$B$8</f>
        <v>0.0336932624113475</v>
      </c>
    </row>
    <row r="123" customFormat="false" ht="15" hidden="false" customHeight="true" outlineLevel="0" collapsed="false">
      <c r="A123" s="13" t="s">
        <v>192</v>
      </c>
      <c r="B123" s="13" t="n">
        <v>6</v>
      </c>
      <c r="C123" s="13" t="n">
        <v>12</v>
      </c>
      <c r="D123" s="13" t="s">
        <v>135</v>
      </c>
      <c r="E123" s="13" t="n">
        <v>2</v>
      </c>
      <c r="F123" s="18" t="n">
        <v>0</v>
      </c>
      <c r="G123" s="13" t="n">
        <v>8.23</v>
      </c>
      <c r="H123" s="13" t="n">
        <v>61.3</v>
      </c>
      <c r="I123" s="13" t="n">
        <v>6.5</v>
      </c>
      <c r="J123" s="13" t="n">
        <v>6.37</v>
      </c>
      <c r="K123" s="13" t="n">
        <v>0</v>
      </c>
      <c r="L123" s="13" t="n">
        <v>473</v>
      </c>
      <c r="M123" s="13" t="n">
        <v>6</v>
      </c>
      <c r="N123" s="16" t="n">
        <f aca="false">H123*Parameters!$B$6/60</f>
        <v>1.58358333333333</v>
      </c>
      <c r="O123" s="18" t="n">
        <f aca="false">IF(G123=0,0,H123/G123)</f>
        <v>7.44835965978129</v>
      </c>
      <c r="P123" s="18" t="n">
        <f aca="false">IF(N123=0,0,Parameters!$B$8/N123)</f>
        <v>29.6795242856391</v>
      </c>
      <c r="Q123" s="28" t="n">
        <f aca="false">N123/Parameters!$B$8</f>
        <v>0.0336932624113475</v>
      </c>
    </row>
    <row r="124" customFormat="false" ht="15" hidden="false" customHeight="true" outlineLevel="0" collapsed="false">
      <c r="A124" s="13" t="s">
        <v>192</v>
      </c>
      <c r="B124" s="13" t="n">
        <v>6</v>
      </c>
      <c r="C124" s="13" t="n">
        <v>12</v>
      </c>
      <c r="D124" s="13" t="s">
        <v>135</v>
      </c>
      <c r="E124" s="13" t="n">
        <v>3</v>
      </c>
      <c r="F124" s="18" t="n">
        <v>0</v>
      </c>
      <c r="G124" s="13" t="n">
        <v>8.23</v>
      </c>
      <c r="H124" s="13" t="n">
        <v>61.3</v>
      </c>
      <c r="I124" s="13" t="n">
        <v>6.5</v>
      </c>
      <c r="J124" s="13" t="n">
        <v>12.33</v>
      </c>
      <c r="K124" s="13" t="n">
        <v>0</v>
      </c>
      <c r="L124" s="13" t="n">
        <v>473</v>
      </c>
      <c r="M124" s="13" t="n">
        <v>6</v>
      </c>
      <c r="N124" s="16" t="n">
        <f aca="false">H124*Parameters!$B$6/60</f>
        <v>1.58358333333333</v>
      </c>
      <c r="O124" s="18" t="n">
        <f aca="false">IF(G124=0,0,H124/G124)</f>
        <v>7.44835965978129</v>
      </c>
      <c r="P124" s="18" t="n">
        <f aca="false">IF(N124=0,0,Parameters!$B$8/N124)</f>
        <v>29.6795242856391</v>
      </c>
      <c r="Q124" s="28" t="n">
        <f aca="false">N124/Parameters!$B$8</f>
        <v>0.0336932624113475</v>
      </c>
    </row>
    <row r="125" customFormat="false" ht="15" hidden="false" customHeight="true" outlineLevel="0" collapsed="false">
      <c r="A125" s="13" t="s">
        <v>192</v>
      </c>
      <c r="B125" s="13" t="n">
        <v>6</v>
      </c>
      <c r="C125" s="13" t="n">
        <v>12</v>
      </c>
      <c r="D125" s="13" t="s">
        <v>135</v>
      </c>
      <c r="E125" s="13" t="n">
        <v>4</v>
      </c>
      <c r="F125" s="18" t="n">
        <v>0</v>
      </c>
      <c r="G125" s="13" t="n">
        <v>8.23</v>
      </c>
      <c r="H125" s="13" t="n">
        <v>61.3</v>
      </c>
      <c r="I125" s="13" t="n">
        <v>6.5</v>
      </c>
      <c r="J125" s="13" t="n">
        <v>17.4</v>
      </c>
      <c r="K125" s="13" t="n">
        <v>0</v>
      </c>
      <c r="L125" s="13" t="n">
        <v>473</v>
      </c>
      <c r="M125" s="13" t="n">
        <v>6</v>
      </c>
      <c r="N125" s="16" t="n">
        <f aca="false">H125*Parameters!$B$6/60</f>
        <v>1.58358333333333</v>
      </c>
      <c r="O125" s="18" t="n">
        <f aca="false">IF(G125=0,0,H125/G125)</f>
        <v>7.44835965978129</v>
      </c>
      <c r="P125" s="18" t="n">
        <f aca="false">IF(N125=0,0,Parameters!$B$8/N125)</f>
        <v>29.6795242856391</v>
      </c>
      <c r="Q125" s="28" t="n">
        <f aca="false">N125/Parameters!$B$8</f>
        <v>0.0336932624113475</v>
      </c>
    </row>
    <row r="126" customFormat="false" ht="15" hidden="false" customHeight="true" outlineLevel="0" collapsed="false">
      <c r="A126" s="13" t="s">
        <v>192</v>
      </c>
      <c r="B126" s="13" t="n">
        <v>6</v>
      </c>
      <c r="C126" s="13" t="n">
        <v>12</v>
      </c>
      <c r="D126" s="13" t="s">
        <v>136</v>
      </c>
      <c r="E126" s="13" t="n">
        <v>2</v>
      </c>
      <c r="F126" s="18" t="n">
        <v>1.6</v>
      </c>
      <c r="G126" s="13" t="n">
        <v>10.91</v>
      </c>
      <c r="H126" s="13" t="n">
        <v>63</v>
      </c>
      <c r="I126" s="13" t="n">
        <v>11.16</v>
      </c>
      <c r="J126" s="13" t="n">
        <v>0</v>
      </c>
      <c r="K126" s="13" t="n">
        <v>0</v>
      </c>
      <c r="L126" s="13" t="n">
        <v>482</v>
      </c>
      <c r="M126" s="13" t="n">
        <v>6</v>
      </c>
      <c r="N126" s="16" t="n">
        <f aca="false">H126*Parameters!$B$6/60</f>
        <v>1.6275</v>
      </c>
      <c r="O126" s="18" t="n">
        <f aca="false">IF(G126=0,0,H126/G126)</f>
        <v>5.77451879010083</v>
      </c>
      <c r="P126" s="18" t="n">
        <f aca="false">IF(N126=0,0,Parameters!$B$8/N126)</f>
        <v>28.8786482334869</v>
      </c>
      <c r="Q126" s="28" t="n">
        <f aca="false">N126/Parameters!$B$8</f>
        <v>0.0346276595744681</v>
      </c>
    </row>
    <row r="127" customFormat="false" ht="15" hidden="false" customHeight="true" outlineLevel="0" collapsed="false">
      <c r="A127" s="13" t="s">
        <v>192</v>
      </c>
      <c r="B127" s="13" t="n">
        <v>6</v>
      </c>
      <c r="C127" s="13" t="n">
        <v>12</v>
      </c>
      <c r="D127" s="13" t="s">
        <v>136</v>
      </c>
      <c r="E127" s="13" t="n">
        <v>3</v>
      </c>
      <c r="F127" s="18" t="n">
        <v>68.8</v>
      </c>
      <c r="G127" s="13" t="n">
        <v>13.47</v>
      </c>
      <c r="H127" s="13" t="n">
        <v>66.3</v>
      </c>
      <c r="I127" s="13" t="n">
        <v>13.34</v>
      </c>
      <c r="J127" s="13" t="n">
        <v>0</v>
      </c>
      <c r="K127" s="13" t="n">
        <v>0</v>
      </c>
      <c r="L127" s="13" t="n">
        <v>424</v>
      </c>
      <c r="M127" s="13" t="n">
        <v>6</v>
      </c>
      <c r="N127" s="16" t="n">
        <f aca="false">H127*Parameters!$B$6/60</f>
        <v>1.71275</v>
      </c>
      <c r="O127" s="18" t="n">
        <f aca="false">IF(G127=0,0,H127/G127)</f>
        <v>4.92204899777283</v>
      </c>
      <c r="P127" s="18" t="n">
        <f aca="false">IF(N127=0,0,Parameters!$B$8/N127)</f>
        <v>27.4412494526347</v>
      </c>
      <c r="Q127" s="28" t="n">
        <f aca="false">N127/Parameters!$B$8</f>
        <v>0.0364414893617021</v>
      </c>
    </row>
    <row r="128" customFormat="false" ht="15" hidden="false" customHeight="true" outlineLevel="0" collapsed="false">
      <c r="A128" s="13" t="s">
        <v>192</v>
      </c>
      <c r="B128" s="13" t="n">
        <v>6</v>
      </c>
      <c r="C128" s="13" t="n">
        <v>12</v>
      </c>
      <c r="D128" s="13" t="s">
        <v>136</v>
      </c>
      <c r="E128" s="13" t="n">
        <v>4</v>
      </c>
      <c r="F128" s="18" t="n">
        <v>79.6</v>
      </c>
      <c r="G128" s="13" t="n">
        <v>12.6</v>
      </c>
      <c r="H128" s="13" t="n">
        <v>64.4</v>
      </c>
      <c r="I128" s="13" t="n">
        <v>13.53</v>
      </c>
      <c r="J128" s="13" t="n">
        <v>0</v>
      </c>
      <c r="K128" s="13" t="n">
        <v>0</v>
      </c>
      <c r="L128" s="13" t="n">
        <v>400</v>
      </c>
      <c r="M128" s="13" t="n">
        <v>6</v>
      </c>
      <c r="N128" s="16" t="n">
        <f aca="false">H128*Parameters!$B$6/60</f>
        <v>1.66366666666667</v>
      </c>
      <c r="O128" s="18" t="n">
        <f aca="false">IF(G128=0,0,H128/G128)</f>
        <v>5.11111111111111</v>
      </c>
      <c r="P128" s="18" t="n">
        <f aca="false">IF(N128=0,0,Parameters!$B$8/N128)</f>
        <v>28.250851532759</v>
      </c>
      <c r="Q128" s="28" t="n">
        <f aca="false">N128/Parameters!$B$8</f>
        <v>0.0353971631205674</v>
      </c>
    </row>
    <row r="129" customFormat="false" ht="15" hidden="false" customHeight="true" outlineLevel="0" collapsed="false">
      <c r="A129" s="13" t="s">
        <v>192</v>
      </c>
      <c r="B129" s="13" t="n">
        <v>6</v>
      </c>
      <c r="C129" s="13" t="n">
        <v>12</v>
      </c>
      <c r="D129" s="13" t="s">
        <v>137</v>
      </c>
      <c r="E129" s="13" t="n">
        <v>2</v>
      </c>
      <c r="F129" s="18" t="n">
        <v>100</v>
      </c>
      <c r="G129" s="13" t="n">
        <v>8.12</v>
      </c>
      <c r="H129" s="13" t="n">
        <v>44.5</v>
      </c>
      <c r="I129" s="13" t="n">
        <v>4.1</v>
      </c>
      <c r="J129" s="13" t="n">
        <v>0</v>
      </c>
      <c r="K129" s="13" t="n">
        <v>3</v>
      </c>
      <c r="L129" s="13" t="n">
        <v>241</v>
      </c>
      <c r="M129" s="13" t="n">
        <v>6</v>
      </c>
      <c r="N129" s="16" t="n">
        <f aca="false">H129*Parameters!$B$6/60</f>
        <v>1.14958333333333</v>
      </c>
      <c r="O129" s="18" t="n">
        <f aca="false">IF(G129=0,0,H129/G129)</f>
        <v>5.48029556650246</v>
      </c>
      <c r="P129" s="18" t="n">
        <f aca="false">IF(N129=0,0,Parameters!$B$8/N129)</f>
        <v>40.8843783979703</v>
      </c>
      <c r="Q129" s="28" t="n">
        <f aca="false">N129/Parameters!$B$8</f>
        <v>0.024459219858156</v>
      </c>
    </row>
    <row r="130" customFormat="false" ht="15" hidden="false" customHeight="true" outlineLevel="0" collapsed="false">
      <c r="A130" s="13" t="s">
        <v>192</v>
      </c>
      <c r="B130" s="13" t="n">
        <v>6</v>
      </c>
      <c r="C130" s="13" t="n">
        <v>12</v>
      </c>
      <c r="D130" s="13" t="s">
        <v>137</v>
      </c>
      <c r="E130" s="13" t="n">
        <v>3</v>
      </c>
      <c r="F130" s="18" t="n">
        <v>100</v>
      </c>
      <c r="G130" s="13" t="n">
        <v>8.31</v>
      </c>
      <c r="H130" s="13" t="n">
        <v>47</v>
      </c>
      <c r="I130" s="13" t="n">
        <v>4</v>
      </c>
      <c r="J130" s="13" t="n">
        <v>0</v>
      </c>
      <c r="K130" s="13" t="n">
        <v>3</v>
      </c>
      <c r="L130" s="13" t="n">
        <v>268</v>
      </c>
      <c r="M130" s="13" t="n">
        <v>6</v>
      </c>
      <c r="N130" s="16" t="n">
        <f aca="false">H130*Parameters!$B$6/60</f>
        <v>1.21416666666667</v>
      </c>
      <c r="O130" s="18" t="n">
        <f aca="false">IF(G130=0,0,H130/G130)</f>
        <v>5.65583634175692</v>
      </c>
      <c r="P130" s="18" t="n">
        <f aca="false">IF(N130=0,0,Parameters!$B$8/N130)</f>
        <v>38.7096774193548</v>
      </c>
      <c r="Q130" s="28" t="n">
        <f aca="false">N130/Parameters!$B$8</f>
        <v>0.0258333333333333</v>
      </c>
    </row>
    <row r="131" customFormat="false" ht="15" hidden="false" customHeight="true" outlineLevel="0" collapsed="false">
      <c r="A131" s="13" t="s">
        <v>192</v>
      </c>
      <c r="B131" s="13" t="n">
        <v>6</v>
      </c>
      <c r="C131" s="13" t="n">
        <v>12</v>
      </c>
      <c r="D131" s="13" t="s">
        <v>137</v>
      </c>
      <c r="E131" s="13" t="n">
        <v>4</v>
      </c>
      <c r="F131" s="18" t="n">
        <v>100</v>
      </c>
      <c r="G131" s="13" t="n">
        <v>6.01</v>
      </c>
      <c r="H131" s="13" t="n">
        <v>35.4</v>
      </c>
      <c r="I131" s="13" t="n">
        <v>4</v>
      </c>
      <c r="J131" s="13" t="n">
        <v>0</v>
      </c>
      <c r="K131" s="13" t="n">
        <v>3</v>
      </c>
      <c r="L131" s="13" t="n">
        <v>195</v>
      </c>
      <c r="M131" s="13" t="n">
        <v>6</v>
      </c>
      <c r="N131" s="16" t="n">
        <f aca="false">H131*Parameters!$B$6/60</f>
        <v>0.9145</v>
      </c>
      <c r="O131" s="18" t="n">
        <f aca="false">IF(G131=0,0,H131/G131)</f>
        <v>5.89018302828619</v>
      </c>
      <c r="P131" s="18" t="n">
        <f aca="false">IF(N131=0,0,Parameters!$B$8/N131)</f>
        <v>51.3942044833242</v>
      </c>
      <c r="Q131" s="28" t="n">
        <f aca="false">N131/Parameters!$B$8</f>
        <v>0.0194574468085106</v>
      </c>
    </row>
    <row r="132" customFormat="false" ht="15" hidden="false" customHeight="true" outlineLevel="0" collapsed="false">
      <c r="A132" s="13" t="s">
        <v>192</v>
      </c>
      <c r="B132" s="13" t="n">
        <v>6</v>
      </c>
      <c r="C132" s="13" t="n">
        <v>20</v>
      </c>
      <c r="D132" s="13" t="s">
        <v>134</v>
      </c>
      <c r="E132" s="13" t="n">
        <v>0</v>
      </c>
      <c r="F132" s="18" t="n">
        <v>0</v>
      </c>
      <c r="G132" s="13" t="n">
        <v>6.94</v>
      </c>
      <c r="H132" s="13" t="n">
        <v>49.7</v>
      </c>
      <c r="I132" s="13" t="n">
        <v>4</v>
      </c>
      <c r="J132" s="13" t="n">
        <v>0</v>
      </c>
      <c r="K132" s="13" t="n">
        <v>0</v>
      </c>
      <c r="L132" s="13" t="n">
        <v>473</v>
      </c>
      <c r="M132" s="13" t="n">
        <v>6</v>
      </c>
      <c r="N132" s="16" t="n">
        <f aca="false">H132*Parameters!$B$6/60</f>
        <v>1.28391666666667</v>
      </c>
      <c r="O132" s="18" t="n">
        <f aca="false">IF(G132=0,0,H132/G132)</f>
        <v>7.16138328530259</v>
      </c>
      <c r="P132" s="18" t="n">
        <f aca="false">IF(N132=0,0,Parameters!$B$8/N132)</f>
        <v>36.6067371973778</v>
      </c>
      <c r="Q132" s="28" t="n">
        <f aca="false">N132/Parameters!$B$8</f>
        <v>0.0273173758865248</v>
      </c>
    </row>
    <row r="133" customFormat="false" ht="15" hidden="false" customHeight="true" outlineLevel="0" collapsed="false">
      <c r="A133" s="13" t="s">
        <v>192</v>
      </c>
      <c r="B133" s="13" t="n">
        <v>6</v>
      </c>
      <c r="C133" s="13" t="n">
        <v>20</v>
      </c>
      <c r="D133" s="13" t="s">
        <v>135</v>
      </c>
      <c r="E133" s="13" t="n">
        <v>2</v>
      </c>
      <c r="F133" s="18" t="n">
        <v>0</v>
      </c>
      <c r="G133" s="13" t="n">
        <v>6.94</v>
      </c>
      <c r="H133" s="13" t="n">
        <v>49.7</v>
      </c>
      <c r="I133" s="13" t="n">
        <v>4</v>
      </c>
      <c r="J133" s="13" t="n">
        <v>3.88</v>
      </c>
      <c r="K133" s="13" t="n">
        <v>0</v>
      </c>
      <c r="L133" s="13" t="n">
        <v>473</v>
      </c>
      <c r="M133" s="13" t="n">
        <v>6</v>
      </c>
      <c r="N133" s="16" t="n">
        <f aca="false">H133*Parameters!$B$6/60</f>
        <v>1.28391666666667</v>
      </c>
      <c r="O133" s="18" t="n">
        <f aca="false">IF(G133=0,0,H133/G133)</f>
        <v>7.16138328530259</v>
      </c>
      <c r="P133" s="18" t="n">
        <f aca="false">IF(N133=0,0,Parameters!$B$8/N133)</f>
        <v>36.6067371973778</v>
      </c>
      <c r="Q133" s="28" t="n">
        <f aca="false">N133/Parameters!$B$8</f>
        <v>0.0273173758865248</v>
      </c>
    </row>
    <row r="134" customFormat="false" ht="15" hidden="false" customHeight="true" outlineLevel="0" collapsed="false">
      <c r="A134" s="13" t="s">
        <v>192</v>
      </c>
      <c r="B134" s="13" t="n">
        <v>6</v>
      </c>
      <c r="C134" s="13" t="n">
        <v>20</v>
      </c>
      <c r="D134" s="13" t="s">
        <v>135</v>
      </c>
      <c r="E134" s="13" t="n">
        <v>3</v>
      </c>
      <c r="F134" s="18" t="n">
        <v>0</v>
      </c>
      <c r="G134" s="13" t="n">
        <v>6.94</v>
      </c>
      <c r="H134" s="13" t="n">
        <v>49.7</v>
      </c>
      <c r="I134" s="13" t="n">
        <v>4</v>
      </c>
      <c r="J134" s="13" t="n">
        <v>7.43</v>
      </c>
      <c r="K134" s="13" t="n">
        <v>0</v>
      </c>
      <c r="L134" s="13" t="n">
        <v>473</v>
      </c>
      <c r="M134" s="13" t="n">
        <v>6</v>
      </c>
      <c r="N134" s="16" t="n">
        <f aca="false">H134*Parameters!$B$6/60</f>
        <v>1.28391666666667</v>
      </c>
      <c r="O134" s="18" t="n">
        <f aca="false">IF(G134=0,0,H134/G134)</f>
        <v>7.16138328530259</v>
      </c>
      <c r="P134" s="18" t="n">
        <f aca="false">IF(N134=0,0,Parameters!$B$8/N134)</f>
        <v>36.6067371973778</v>
      </c>
      <c r="Q134" s="28" t="n">
        <f aca="false">N134/Parameters!$B$8</f>
        <v>0.0273173758865248</v>
      </c>
    </row>
    <row r="135" customFormat="false" ht="15" hidden="false" customHeight="true" outlineLevel="0" collapsed="false">
      <c r="A135" s="13" t="s">
        <v>192</v>
      </c>
      <c r="B135" s="13" t="n">
        <v>6</v>
      </c>
      <c r="C135" s="13" t="n">
        <v>20</v>
      </c>
      <c r="D135" s="13" t="s">
        <v>135</v>
      </c>
      <c r="E135" s="13" t="n">
        <v>4</v>
      </c>
      <c r="F135" s="18" t="n">
        <v>0</v>
      </c>
      <c r="G135" s="13" t="n">
        <v>6.94</v>
      </c>
      <c r="H135" s="13" t="n">
        <v>49.7</v>
      </c>
      <c r="I135" s="13" t="n">
        <v>4</v>
      </c>
      <c r="J135" s="13" t="n">
        <v>10.37</v>
      </c>
      <c r="K135" s="13" t="n">
        <v>0</v>
      </c>
      <c r="L135" s="13" t="n">
        <v>473</v>
      </c>
      <c r="M135" s="13" t="n">
        <v>6</v>
      </c>
      <c r="N135" s="16" t="n">
        <f aca="false">H135*Parameters!$B$6/60</f>
        <v>1.28391666666667</v>
      </c>
      <c r="O135" s="18" t="n">
        <f aca="false">IF(G135=0,0,H135/G135)</f>
        <v>7.16138328530259</v>
      </c>
      <c r="P135" s="18" t="n">
        <f aca="false">IF(N135=0,0,Parameters!$B$8/N135)</f>
        <v>36.6067371973778</v>
      </c>
      <c r="Q135" s="28" t="n">
        <f aca="false">N135/Parameters!$B$8</f>
        <v>0.0273173758865248</v>
      </c>
    </row>
    <row r="136" customFormat="false" ht="15" hidden="false" customHeight="true" outlineLevel="0" collapsed="false">
      <c r="A136" s="13" t="s">
        <v>192</v>
      </c>
      <c r="B136" s="13" t="n">
        <v>6</v>
      </c>
      <c r="C136" s="13" t="n">
        <v>20</v>
      </c>
      <c r="D136" s="13" t="s">
        <v>136</v>
      </c>
      <c r="E136" s="13" t="n">
        <v>2</v>
      </c>
      <c r="F136" s="18" t="n">
        <v>0</v>
      </c>
      <c r="G136" s="13" t="n">
        <v>6.98</v>
      </c>
      <c r="H136" s="13" t="n">
        <v>49.9</v>
      </c>
      <c r="I136" s="13" t="n">
        <v>8.73</v>
      </c>
      <c r="J136" s="13" t="n">
        <v>0</v>
      </c>
      <c r="K136" s="13" t="n">
        <v>0</v>
      </c>
      <c r="L136" s="13" t="n">
        <v>475</v>
      </c>
      <c r="M136" s="13" t="n">
        <v>6</v>
      </c>
      <c r="N136" s="16" t="n">
        <f aca="false">H136*Parameters!$B$6/60</f>
        <v>1.28908333333333</v>
      </c>
      <c r="O136" s="18" t="n">
        <f aca="false">IF(G136=0,0,H136/G136)</f>
        <v>7.14899713467049</v>
      </c>
      <c r="P136" s="18" t="n">
        <f aca="false">IF(N136=0,0,Parameters!$B$8/N136)</f>
        <v>36.4600168078092</v>
      </c>
      <c r="Q136" s="28" t="n">
        <f aca="false">N136/Parameters!$B$8</f>
        <v>0.027427304964539</v>
      </c>
    </row>
    <row r="137" customFormat="false" ht="15" hidden="false" customHeight="true" outlineLevel="0" collapsed="false">
      <c r="A137" s="13" t="s">
        <v>192</v>
      </c>
      <c r="B137" s="13" t="n">
        <v>6</v>
      </c>
      <c r="C137" s="13" t="n">
        <v>20</v>
      </c>
      <c r="D137" s="13" t="s">
        <v>136</v>
      </c>
      <c r="E137" s="13" t="n">
        <v>3</v>
      </c>
      <c r="F137" s="18" t="n">
        <v>0</v>
      </c>
      <c r="G137" s="13" t="n">
        <v>7.02</v>
      </c>
      <c r="H137" s="13" t="n">
        <v>49.7</v>
      </c>
      <c r="I137" s="13" t="n">
        <v>10.83</v>
      </c>
      <c r="J137" s="13" t="n">
        <v>0</v>
      </c>
      <c r="K137" s="13" t="n">
        <v>0</v>
      </c>
      <c r="L137" s="13" t="n">
        <v>474</v>
      </c>
      <c r="M137" s="13" t="n">
        <v>6</v>
      </c>
      <c r="N137" s="16" t="n">
        <f aca="false">H137*Parameters!$B$6/60</f>
        <v>1.28391666666667</v>
      </c>
      <c r="O137" s="18" t="n">
        <f aca="false">IF(G137=0,0,H137/G137)</f>
        <v>7.07977207977208</v>
      </c>
      <c r="P137" s="18" t="n">
        <f aca="false">IF(N137=0,0,Parameters!$B$8/N137)</f>
        <v>36.6067371973778</v>
      </c>
      <c r="Q137" s="28" t="n">
        <f aca="false">N137/Parameters!$B$8</f>
        <v>0.0273173758865248</v>
      </c>
    </row>
    <row r="138" customFormat="false" ht="15" hidden="false" customHeight="true" outlineLevel="0" collapsed="false">
      <c r="A138" s="13" t="s">
        <v>192</v>
      </c>
      <c r="B138" s="13" t="n">
        <v>6</v>
      </c>
      <c r="C138" s="13" t="n">
        <v>20</v>
      </c>
      <c r="D138" s="13" t="s">
        <v>136</v>
      </c>
      <c r="E138" s="13" t="n">
        <v>4</v>
      </c>
      <c r="F138" s="18" t="n">
        <v>0</v>
      </c>
      <c r="G138" s="13" t="n">
        <v>7.02</v>
      </c>
      <c r="H138" s="13" t="n">
        <v>49.7</v>
      </c>
      <c r="I138" s="13" t="n">
        <v>10.83</v>
      </c>
      <c r="J138" s="13" t="n">
        <v>0</v>
      </c>
      <c r="K138" s="13" t="n">
        <v>0</v>
      </c>
      <c r="L138" s="13" t="n">
        <v>474</v>
      </c>
      <c r="M138" s="13" t="n">
        <v>6</v>
      </c>
      <c r="N138" s="16" t="n">
        <f aca="false">H138*Parameters!$B$6/60</f>
        <v>1.28391666666667</v>
      </c>
      <c r="O138" s="18" t="n">
        <f aca="false">IF(G138=0,0,H138/G138)</f>
        <v>7.07977207977208</v>
      </c>
      <c r="P138" s="18" t="n">
        <f aca="false">IF(N138=0,0,Parameters!$B$8/N138)</f>
        <v>36.6067371973778</v>
      </c>
      <c r="Q138" s="28" t="n">
        <f aca="false">N138/Parameters!$B$8</f>
        <v>0.0273173758865248</v>
      </c>
    </row>
    <row r="139" customFormat="false" ht="15" hidden="false" customHeight="true" outlineLevel="0" collapsed="false">
      <c r="A139" s="13" t="s">
        <v>192</v>
      </c>
      <c r="B139" s="13" t="n">
        <v>6</v>
      </c>
      <c r="C139" s="13" t="n">
        <v>20</v>
      </c>
      <c r="D139" s="13" t="s">
        <v>137</v>
      </c>
      <c r="E139" s="13" t="n">
        <v>2</v>
      </c>
      <c r="F139" s="18" t="n">
        <v>0</v>
      </c>
      <c r="G139" s="13" t="n">
        <v>7.06</v>
      </c>
      <c r="H139" s="13" t="n">
        <v>52.4</v>
      </c>
      <c r="I139" s="13" t="n">
        <v>4.47</v>
      </c>
      <c r="J139" s="13" t="n">
        <v>0</v>
      </c>
      <c r="K139" s="13" t="n">
        <v>3</v>
      </c>
      <c r="L139" s="13" t="n">
        <v>472</v>
      </c>
      <c r="M139" s="13" t="n">
        <v>6</v>
      </c>
      <c r="N139" s="16" t="n">
        <f aca="false">H139*Parameters!$B$6/60</f>
        <v>1.35366666666667</v>
      </c>
      <c r="O139" s="18" t="n">
        <f aca="false">IF(G139=0,0,H139/G139)</f>
        <v>7.42209631728045</v>
      </c>
      <c r="P139" s="18" t="n">
        <f aca="false">IF(N139=0,0,Parameters!$B$8/N139)</f>
        <v>34.720512189116</v>
      </c>
      <c r="Q139" s="28" t="n">
        <f aca="false">N139/Parameters!$B$8</f>
        <v>0.0288014184397163</v>
      </c>
    </row>
    <row r="140" customFormat="false" ht="15" hidden="false" customHeight="true" outlineLevel="0" collapsed="false">
      <c r="A140" s="13" t="s">
        <v>192</v>
      </c>
      <c r="B140" s="13" t="n">
        <v>6</v>
      </c>
      <c r="C140" s="13" t="n">
        <v>20</v>
      </c>
      <c r="D140" s="13" t="s">
        <v>137</v>
      </c>
      <c r="E140" s="13" t="n">
        <v>3</v>
      </c>
      <c r="F140" s="18" t="n">
        <v>0</v>
      </c>
      <c r="G140" s="13" t="n">
        <v>7.04</v>
      </c>
      <c r="H140" s="13" t="n">
        <v>52.6</v>
      </c>
      <c r="I140" s="13" t="n">
        <v>5.23</v>
      </c>
      <c r="J140" s="13" t="n">
        <v>0</v>
      </c>
      <c r="K140" s="13" t="n">
        <v>3</v>
      </c>
      <c r="L140" s="13" t="n">
        <v>472</v>
      </c>
      <c r="M140" s="13" t="n">
        <v>6</v>
      </c>
      <c r="N140" s="16" t="n">
        <f aca="false">H140*Parameters!$B$6/60</f>
        <v>1.35883333333333</v>
      </c>
      <c r="O140" s="18" t="n">
        <f aca="false">IF(G140=0,0,H140/G140)</f>
        <v>7.47159090909091</v>
      </c>
      <c r="P140" s="18" t="n">
        <f aca="false">IF(N140=0,0,Parameters!$B$8/N140)</f>
        <v>34.5884950325034</v>
      </c>
      <c r="Q140" s="28" t="n">
        <f aca="false">N140/Parameters!$B$8</f>
        <v>0.0289113475177305</v>
      </c>
    </row>
    <row r="141" customFormat="false" ht="15" hidden="false" customHeight="true" outlineLevel="0" collapsed="false">
      <c r="A141" s="13" t="s">
        <v>192</v>
      </c>
      <c r="B141" s="13" t="n">
        <v>6</v>
      </c>
      <c r="C141" s="13" t="n">
        <v>20</v>
      </c>
      <c r="D141" s="13" t="s">
        <v>137</v>
      </c>
      <c r="E141" s="13" t="n">
        <v>4</v>
      </c>
      <c r="F141" s="18" t="n">
        <v>0</v>
      </c>
      <c r="G141" s="13" t="n">
        <v>7.03</v>
      </c>
      <c r="H141" s="13" t="n">
        <v>52.5</v>
      </c>
      <c r="I141" s="13" t="n">
        <v>4.08</v>
      </c>
      <c r="J141" s="13" t="n">
        <v>0</v>
      </c>
      <c r="K141" s="13" t="n">
        <v>3</v>
      </c>
      <c r="L141" s="13" t="n">
        <v>472</v>
      </c>
      <c r="M141" s="13" t="n">
        <v>6</v>
      </c>
      <c r="N141" s="16" t="n">
        <f aca="false">H141*Parameters!$B$6/60</f>
        <v>1.35625</v>
      </c>
      <c r="O141" s="18" t="n">
        <f aca="false">IF(G141=0,0,H141/G141)</f>
        <v>7.46799431009957</v>
      </c>
      <c r="P141" s="18" t="n">
        <f aca="false">IF(N141=0,0,Parameters!$B$8/N141)</f>
        <v>34.6543778801843</v>
      </c>
      <c r="Q141" s="28" t="n">
        <f aca="false">N141/Parameters!$B$8</f>
        <v>0.0288563829787234</v>
      </c>
    </row>
    <row r="142" customFormat="false" ht="15" hidden="false" customHeight="true" outlineLevel="0" collapsed="false">
      <c r="A142" s="13" t="s">
        <v>192</v>
      </c>
      <c r="B142" s="13" t="n">
        <v>9</v>
      </c>
      <c r="C142" s="13" t="n">
        <v>12</v>
      </c>
      <c r="D142" s="13" t="s">
        <v>134</v>
      </c>
      <c r="E142" s="13" t="n">
        <v>0</v>
      </c>
      <c r="F142" s="18" t="n">
        <v>0</v>
      </c>
      <c r="G142" s="13" t="n">
        <v>6.56</v>
      </c>
      <c r="H142" s="13" t="n">
        <v>61.5</v>
      </c>
      <c r="I142" s="13" t="n">
        <v>3.7</v>
      </c>
      <c r="J142" s="13" t="n">
        <v>0</v>
      </c>
      <c r="K142" s="13" t="n">
        <v>0</v>
      </c>
      <c r="L142" s="13" t="n">
        <v>468</v>
      </c>
      <c r="M142" s="13" t="n">
        <v>9</v>
      </c>
      <c r="N142" s="16" t="n">
        <f aca="false">H142*Parameters!$B$6/60</f>
        <v>1.58875</v>
      </c>
      <c r="O142" s="18" t="n">
        <f aca="false">IF(G142=0,0,H142/G142)</f>
        <v>9.375</v>
      </c>
      <c r="P142" s="18" t="n">
        <f aca="false">IF(N142=0,0,Parameters!$B$8/N142)</f>
        <v>29.5830055074744</v>
      </c>
      <c r="Q142" s="28" t="n">
        <f aca="false">N142/Parameters!$B$8</f>
        <v>0.0338031914893617</v>
      </c>
    </row>
    <row r="143" customFormat="false" ht="15" hidden="false" customHeight="true" outlineLevel="0" collapsed="false">
      <c r="A143" s="13" t="s">
        <v>192</v>
      </c>
      <c r="B143" s="13" t="n">
        <v>9</v>
      </c>
      <c r="C143" s="13" t="n">
        <v>12</v>
      </c>
      <c r="D143" s="13" t="s">
        <v>135</v>
      </c>
      <c r="E143" s="13" t="n">
        <v>2</v>
      </c>
      <c r="F143" s="18" t="n">
        <v>0</v>
      </c>
      <c r="G143" s="13" t="n">
        <v>6.56</v>
      </c>
      <c r="H143" s="13" t="n">
        <v>61.5</v>
      </c>
      <c r="I143" s="13" t="n">
        <v>3.7</v>
      </c>
      <c r="J143" s="13" t="n">
        <v>3.61</v>
      </c>
      <c r="K143" s="13" t="n">
        <v>0</v>
      </c>
      <c r="L143" s="13" t="n">
        <v>468</v>
      </c>
      <c r="M143" s="13" t="n">
        <v>9</v>
      </c>
      <c r="N143" s="16" t="n">
        <f aca="false">H143*Parameters!$B$6/60</f>
        <v>1.58875</v>
      </c>
      <c r="O143" s="18" t="n">
        <f aca="false">IF(G143=0,0,H143/G143)</f>
        <v>9.375</v>
      </c>
      <c r="P143" s="18" t="n">
        <f aca="false">IF(N143=0,0,Parameters!$B$8/N143)</f>
        <v>29.5830055074744</v>
      </c>
      <c r="Q143" s="28" t="n">
        <f aca="false">N143/Parameters!$B$8</f>
        <v>0.0338031914893617</v>
      </c>
    </row>
    <row r="144" customFormat="false" ht="15" hidden="false" customHeight="true" outlineLevel="0" collapsed="false">
      <c r="A144" s="13" t="s">
        <v>192</v>
      </c>
      <c r="B144" s="13" t="n">
        <v>9</v>
      </c>
      <c r="C144" s="13" t="n">
        <v>12</v>
      </c>
      <c r="D144" s="13" t="s">
        <v>135</v>
      </c>
      <c r="E144" s="13" t="n">
        <v>3</v>
      </c>
      <c r="F144" s="18" t="n">
        <v>0</v>
      </c>
      <c r="G144" s="13" t="n">
        <v>6.56</v>
      </c>
      <c r="H144" s="13" t="n">
        <v>61.5</v>
      </c>
      <c r="I144" s="13" t="n">
        <v>3.7</v>
      </c>
      <c r="J144" s="13" t="n">
        <v>6.97</v>
      </c>
      <c r="K144" s="13" t="n">
        <v>0</v>
      </c>
      <c r="L144" s="13" t="n">
        <v>468</v>
      </c>
      <c r="M144" s="13" t="n">
        <v>9</v>
      </c>
      <c r="N144" s="16" t="n">
        <f aca="false">H144*Parameters!$B$6/60</f>
        <v>1.58875</v>
      </c>
      <c r="O144" s="18" t="n">
        <f aca="false">IF(G144=0,0,H144/G144)</f>
        <v>9.375</v>
      </c>
      <c r="P144" s="18" t="n">
        <f aca="false">IF(N144=0,0,Parameters!$B$8/N144)</f>
        <v>29.5830055074744</v>
      </c>
      <c r="Q144" s="28" t="n">
        <f aca="false">N144/Parameters!$B$8</f>
        <v>0.0338031914893617</v>
      </c>
    </row>
    <row r="145" customFormat="false" ht="15" hidden="false" customHeight="true" outlineLevel="0" collapsed="false">
      <c r="A145" s="13" t="s">
        <v>192</v>
      </c>
      <c r="B145" s="13" t="n">
        <v>9</v>
      </c>
      <c r="C145" s="13" t="n">
        <v>12</v>
      </c>
      <c r="D145" s="13" t="s">
        <v>135</v>
      </c>
      <c r="E145" s="13" t="n">
        <v>4</v>
      </c>
      <c r="F145" s="18" t="n">
        <v>0</v>
      </c>
      <c r="G145" s="13" t="n">
        <v>6.56</v>
      </c>
      <c r="H145" s="13" t="n">
        <v>61.5</v>
      </c>
      <c r="I145" s="13" t="n">
        <v>3.7</v>
      </c>
      <c r="J145" s="13" t="n">
        <v>9.85</v>
      </c>
      <c r="K145" s="13" t="n">
        <v>0</v>
      </c>
      <c r="L145" s="13" t="n">
        <v>468</v>
      </c>
      <c r="M145" s="13" t="n">
        <v>9</v>
      </c>
      <c r="N145" s="16" t="n">
        <f aca="false">H145*Parameters!$B$6/60</f>
        <v>1.58875</v>
      </c>
      <c r="O145" s="18" t="n">
        <f aca="false">IF(G145=0,0,H145/G145)</f>
        <v>9.375</v>
      </c>
      <c r="P145" s="18" t="n">
        <f aca="false">IF(N145=0,0,Parameters!$B$8/N145)</f>
        <v>29.5830055074744</v>
      </c>
      <c r="Q145" s="28" t="n">
        <f aca="false">N145/Parameters!$B$8</f>
        <v>0.0338031914893617</v>
      </c>
    </row>
    <row r="146" customFormat="false" ht="15" hidden="false" customHeight="true" outlineLevel="0" collapsed="false">
      <c r="A146" s="13" t="s">
        <v>192</v>
      </c>
      <c r="B146" s="13" t="n">
        <v>9</v>
      </c>
      <c r="C146" s="13" t="n">
        <v>12</v>
      </c>
      <c r="D146" s="13" t="s">
        <v>136</v>
      </c>
      <c r="E146" s="13" t="n">
        <v>2</v>
      </c>
      <c r="F146" s="18" t="n">
        <v>0</v>
      </c>
      <c r="G146" s="13" t="n">
        <v>7.49</v>
      </c>
      <c r="H146" s="13" t="n">
        <v>61</v>
      </c>
      <c r="I146" s="13" t="n">
        <v>8.16</v>
      </c>
      <c r="J146" s="13" t="n">
        <v>0</v>
      </c>
      <c r="K146" s="13" t="n">
        <v>0</v>
      </c>
      <c r="L146" s="13" t="n">
        <v>474</v>
      </c>
      <c r="M146" s="13" t="n">
        <v>9</v>
      </c>
      <c r="N146" s="16" t="n">
        <f aca="false">H146*Parameters!$B$6/60</f>
        <v>1.57583333333333</v>
      </c>
      <c r="O146" s="18" t="n">
        <f aca="false">IF(G146=0,0,H146/G146)</f>
        <v>8.14419225634179</v>
      </c>
      <c r="P146" s="18" t="n">
        <f aca="false">IF(N146=0,0,Parameters!$B$8/N146)</f>
        <v>29.825489159175</v>
      </c>
      <c r="Q146" s="28" t="n">
        <f aca="false">N146/Parameters!$B$8</f>
        <v>0.0335283687943262</v>
      </c>
    </row>
    <row r="147" customFormat="false" ht="15" hidden="false" customHeight="true" outlineLevel="0" collapsed="false">
      <c r="A147" s="13" t="s">
        <v>192</v>
      </c>
      <c r="B147" s="13" t="n">
        <v>9</v>
      </c>
      <c r="C147" s="13" t="n">
        <v>12</v>
      </c>
      <c r="D147" s="13" t="s">
        <v>136</v>
      </c>
      <c r="E147" s="13" t="n">
        <v>3</v>
      </c>
      <c r="F147" s="18" t="n">
        <v>14.8</v>
      </c>
      <c r="G147" s="13" t="n">
        <v>11.66</v>
      </c>
      <c r="H147" s="13" t="n">
        <v>65.4</v>
      </c>
      <c r="I147" s="13" t="n">
        <v>12.28</v>
      </c>
      <c r="J147" s="13" t="n">
        <v>0</v>
      </c>
      <c r="K147" s="13" t="n">
        <v>0</v>
      </c>
      <c r="L147" s="13" t="n">
        <v>476</v>
      </c>
      <c r="M147" s="13" t="n">
        <v>9</v>
      </c>
      <c r="N147" s="16" t="n">
        <f aca="false">H147*Parameters!$B$6/60</f>
        <v>1.6895</v>
      </c>
      <c r="O147" s="18" t="n">
        <f aca="false">IF(G147=0,0,H147/G147)</f>
        <v>5.60891938250429</v>
      </c>
      <c r="P147" s="18" t="n">
        <f aca="false">IF(N147=0,0,Parameters!$B$8/N147)</f>
        <v>27.818881325836</v>
      </c>
      <c r="Q147" s="28" t="n">
        <f aca="false">N147/Parameters!$B$8</f>
        <v>0.0359468085106383</v>
      </c>
    </row>
    <row r="148" customFormat="false" ht="15" hidden="false" customHeight="true" outlineLevel="0" collapsed="false">
      <c r="A148" s="13" t="s">
        <v>192</v>
      </c>
      <c r="B148" s="13" t="n">
        <v>9</v>
      </c>
      <c r="C148" s="13" t="n">
        <v>12</v>
      </c>
      <c r="D148" s="13" t="s">
        <v>136</v>
      </c>
      <c r="E148" s="13" t="n">
        <v>4</v>
      </c>
      <c r="F148" s="18" t="n">
        <v>27.6</v>
      </c>
      <c r="G148" s="13" t="n">
        <v>11.8</v>
      </c>
      <c r="H148" s="13" t="n">
        <v>65.9</v>
      </c>
      <c r="I148" s="13" t="n">
        <v>12.74</v>
      </c>
      <c r="J148" s="13" t="n">
        <v>0</v>
      </c>
      <c r="K148" s="13" t="n">
        <v>0</v>
      </c>
      <c r="L148" s="13" t="n">
        <v>467</v>
      </c>
      <c r="M148" s="13" t="n">
        <v>9</v>
      </c>
      <c r="N148" s="16" t="n">
        <f aca="false">H148*Parameters!$B$6/60</f>
        <v>1.70241666666667</v>
      </c>
      <c r="O148" s="18" t="n">
        <f aca="false">IF(G148=0,0,H148/G148)</f>
        <v>5.58474576271186</v>
      </c>
      <c r="P148" s="18" t="n">
        <f aca="false">IF(N148=0,0,Parameters!$B$8/N148)</f>
        <v>27.6078124235156</v>
      </c>
      <c r="Q148" s="28" t="n">
        <f aca="false">N148/Parameters!$B$8</f>
        <v>0.0362216312056738</v>
      </c>
    </row>
    <row r="149" customFormat="false" ht="15" hidden="false" customHeight="true" outlineLevel="0" collapsed="false">
      <c r="A149" s="13" t="s">
        <v>192</v>
      </c>
      <c r="B149" s="13" t="n">
        <v>9</v>
      </c>
      <c r="C149" s="13" t="n">
        <v>12</v>
      </c>
      <c r="D149" s="13" t="s">
        <v>137</v>
      </c>
      <c r="E149" s="13" t="n">
        <v>2</v>
      </c>
      <c r="F149" s="18" t="n">
        <v>100</v>
      </c>
      <c r="G149" s="13" t="n">
        <v>7.07</v>
      </c>
      <c r="H149" s="13" t="n">
        <v>40.8</v>
      </c>
      <c r="I149" s="13" t="n">
        <v>4</v>
      </c>
      <c r="J149" s="13" t="n">
        <v>0</v>
      </c>
      <c r="K149" s="13" t="n">
        <v>3</v>
      </c>
      <c r="L149" s="13" t="n">
        <v>221</v>
      </c>
      <c r="M149" s="13" t="n">
        <v>9</v>
      </c>
      <c r="N149" s="16" t="n">
        <f aca="false">H149*Parameters!$B$6/60</f>
        <v>1.054</v>
      </c>
      <c r="O149" s="18" t="n">
        <f aca="false">IF(G149=0,0,H149/G149)</f>
        <v>5.77086280056577</v>
      </c>
      <c r="P149" s="18" t="n">
        <f aca="false">IF(N149=0,0,Parameters!$B$8/N149)</f>
        <v>44.5920303605313</v>
      </c>
      <c r="Q149" s="28" t="n">
        <f aca="false">N149/Parameters!$B$8</f>
        <v>0.0224255319148936</v>
      </c>
    </row>
    <row r="150" customFormat="false" ht="15" hidden="false" customHeight="true" outlineLevel="0" collapsed="false">
      <c r="A150" s="13" t="s">
        <v>192</v>
      </c>
      <c r="B150" s="13" t="n">
        <v>9</v>
      </c>
      <c r="C150" s="13" t="n">
        <v>12</v>
      </c>
      <c r="D150" s="13" t="s">
        <v>137</v>
      </c>
      <c r="E150" s="13" t="n">
        <v>3</v>
      </c>
      <c r="F150" s="18" t="n">
        <v>100</v>
      </c>
      <c r="G150" s="13" t="n">
        <v>7.06</v>
      </c>
      <c r="H150" s="13" t="n">
        <v>43.6</v>
      </c>
      <c r="I150" s="13" t="n">
        <v>4.04</v>
      </c>
      <c r="J150" s="13" t="n">
        <v>0</v>
      </c>
      <c r="K150" s="13" t="n">
        <v>3</v>
      </c>
      <c r="L150" s="13" t="n">
        <v>241</v>
      </c>
      <c r="M150" s="13" t="n">
        <v>9</v>
      </c>
      <c r="N150" s="16" t="n">
        <f aca="false">H150*Parameters!$B$6/60</f>
        <v>1.12633333333333</v>
      </c>
      <c r="O150" s="18" t="n">
        <f aca="false">IF(G150=0,0,H150/G150)</f>
        <v>6.17563739376771</v>
      </c>
      <c r="P150" s="18" t="n">
        <f aca="false">IF(N150=0,0,Parameters!$B$8/N150)</f>
        <v>41.7283219887541</v>
      </c>
      <c r="Q150" s="28" t="n">
        <f aca="false">N150/Parameters!$B$8</f>
        <v>0.0239645390070922</v>
      </c>
    </row>
    <row r="151" customFormat="false" ht="15" hidden="false" customHeight="true" outlineLevel="0" collapsed="false">
      <c r="A151" s="13" t="s">
        <v>192</v>
      </c>
      <c r="B151" s="13" t="n">
        <v>9</v>
      </c>
      <c r="C151" s="13" t="n">
        <v>12</v>
      </c>
      <c r="D151" s="13" t="s">
        <v>137</v>
      </c>
      <c r="E151" s="13" t="n">
        <v>4</v>
      </c>
      <c r="F151" s="18" t="n">
        <v>100</v>
      </c>
      <c r="G151" s="13" t="n">
        <v>6.03</v>
      </c>
      <c r="H151" s="13" t="n">
        <v>36.6</v>
      </c>
      <c r="I151" s="13" t="n">
        <v>3</v>
      </c>
      <c r="J151" s="13" t="n">
        <v>0</v>
      </c>
      <c r="K151" s="13" t="n">
        <v>3</v>
      </c>
      <c r="L151" s="13" t="n">
        <v>204</v>
      </c>
      <c r="M151" s="13" t="n">
        <v>9</v>
      </c>
      <c r="N151" s="16" t="n">
        <f aca="false">H151*Parameters!$B$6/60</f>
        <v>0.9455</v>
      </c>
      <c r="O151" s="18" t="n">
        <f aca="false">IF(G151=0,0,H151/G151)</f>
        <v>6.06965174129353</v>
      </c>
      <c r="P151" s="18" t="n">
        <f aca="false">IF(N151=0,0,Parameters!$B$8/N151)</f>
        <v>49.7091485986251</v>
      </c>
      <c r="Q151" s="28" t="n">
        <f aca="false">N151/Parameters!$B$8</f>
        <v>0.0201170212765958</v>
      </c>
    </row>
    <row r="152" customFormat="false" ht="15" hidden="false" customHeight="true" outlineLevel="0" collapsed="false">
      <c r="A152" s="13" t="s">
        <v>192</v>
      </c>
      <c r="B152" s="13" t="n">
        <v>9</v>
      </c>
      <c r="C152" s="13" t="n">
        <v>20</v>
      </c>
      <c r="D152" s="13" t="s">
        <v>134</v>
      </c>
      <c r="E152" s="13" t="n">
        <v>0</v>
      </c>
      <c r="F152" s="18" t="n">
        <v>0</v>
      </c>
      <c r="G152" s="13" t="n">
        <v>5.55</v>
      </c>
      <c r="H152" s="13" t="n">
        <v>53</v>
      </c>
      <c r="I152" s="13" t="n">
        <v>5.19</v>
      </c>
      <c r="J152" s="13" t="n">
        <v>0</v>
      </c>
      <c r="K152" s="13" t="n">
        <v>0</v>
      </c>
      <c r="L152" s="13" t="n">
        <v>470</v>
      </c>
      <c r="M152" s="13" t="n">
        <v>9</v>
      </c>
      <c r="N152" s="16" t="n">
        <f aca="false">H152*Parameters!$B$6/60</f>
        <v>1.36916666666667</v>
      </c>
      <c r="O152" s="18" t="n">
        <f aca="false">IF(G152=0,0,H152/G152)</f>
        <v>9.54954954954955</v>
      </c>
      <c r="P152" s="18" t="n">
        <f aca="false">IF(N152=0,0,Parameters!$B$8/N152)</f>
        <v>34.327449786975</v>
      </c>
      <c r="Q152" s="28" t="n">
        <f aca="false">N152/Parameters!$B$8</f>
        <v>0.0291312056737589</v>
      </c>
    </row>
    <row r="153" customFormat="false" ht="15" hidden="false" customHeight="true" outlineLevel="0" collapsed="false">
      <c r="A153" s="13" t="s">
        <v>192</v>
      </c>
      <c r="B153" s="13" t="n">
        <v>9</v>
      </c>
      <c r="C153" s="13" t="n">
        <v>20</v>
      </c>
      <c r="D153" s="13" t="s">
        <v>135</v>
      </c>
      <c r="E153" s="13" t="n">
        <v>2</v>
      </c>
      <c r="F153" s="18" t="n">
        <v>0</v>
      </c>
      <c r="G153" s="13" t="n">
        <v>5.55</v>
      </c>
      <c r="H153" s="13" t="n">
        <v>53</v>
      </c>
      <c r="I153" s="13" t="n">
        <v>5.19</v>
      </c>
      <c r="J153" s="13" t="n">
        <v>5.11</v>
      </c>
      <c r="K153" s="13" t="n">
        <v>0</v>
      </c>
      <c r="L153" s="13" t="n">
        <v>470</v>
      </c>
      <c r="M153" s="13" t="n">
        <v>9</v>
      </c>
      <c r="N153" s="16" t="n">
        <f aca="false">H153*Parameters!$B$6/60</f>
        <v>1.36916666666667</v>
      </c>
      <c r="O153" s="18" t="n">
        <f aca="false">IF(G153=0,0,H153/G153)</f>
        <v>9.54954954954955</v>
      </c>
      <c r="P153" s="18" t="n">
        <f aca="false">IF(N153=0,0,Parameters!$B$8/N153)</f>
        <v>34.327449786975</v>
      </c>
      <c r="Q153" s="28" t="n">
        <f aca="false">N153/Parameters!$B$8</f>
        <v>0.0291312056737589</v>
      </c>
    </row>
    <row r="154" customFormat="false" ht="15" hidden="false" customHeight="true" outlineLevel="0" collapsed="false">
      <c r="A154" s="13" t="s">
        <v>192</v>
      </c>
      <c r="B154" s="13" t="n">
        <v>9</v>
      </c>
      <c r="C154" s="13" t="n">
        <v>20</v>
      </c>
      <c r="D154" s="13" t="s">
        <v>135</v>
      </c>
      <c r="E154" s="13" t="n">
        <v>3</v>
      </c>
      <c r="F154" s="18" t="n">
        <v>0</v>
      </c>
      <c r="G154" s="13" t="n">
        <v>5.55</v>
      </c>
      <c r="H154" s="13" t="n">
        <v>53</v>
      </c>
      <c r="I154" s="13" t="n">
        <v>5.19</v>
      </c>
      <c r="J154" s="13" t="n">
        <v>9.62</v>
      </c>
      <c r="K154" s="13" t="n">
        <v>0</v>
      </c>
      <c r="L154" s="13" t="n">
        <v>470</v>
      </c>
      <c r="M154" s="13" t="n">
        <v>9</v>
      </c>
      <c r="N154" s="16" t="n">
        <f aca="false">H154*Parameters!$B$6/60</f>
        <v>1.36916666666667</v>
      </c>
      <c r="O154" s="18" t="n">
        <f aca="false">IF(G154=0,0,H154/G154)</f>
        <v>9.54954954954955</v>
      </c>
      <c r="P154" s="18" t="n">
        <f aca="false">IF(N154=0,0,Parameters!$B$8/N154)</f>
        <v>34.327449786975</v>
      </c>
      <c r="Q154" s="28" t="n">
        <f aca="false">N154/Parameters!$B$8</f>
        <v>0.0291312056737589</v>
      </c>
    </row>
    <row r="155" customFormat="false" ht="15" hidden="false" customHeight="true" outlineLevel="0" collapsed="false">
      <c r="A155" s="13" t="s">
        <v>192</v>
      </c>
      <c r="B155" s="13" t="n">
        <v>9</v>
      </c>
      <c r="C155" s="13" t="n">
        <v>20</v>
      </c>
      <c r="D155" s="13" t="s">
        <v>135</v>
      </c>
      <c r="E155" s="13" t="n">
        <v>4</v>
      </c>
      <c r="F155" s="18" t="n">
        <v>0</v>
      </c>
      <c r="G155" s="13" t="n">
        <v>5.55</v>
      </c>
      <c r="H155" s="13" t="n">
        <v>53</v>
      </c>
      <c r="I155" s="13" t="n">
        <v>5.19</v>
      </c>
      <c r="J155" s="13" t="n">
        <v>13.11</v>
      </c>
      <c r="K155" s="13" t="n">
        <v>0</v>
      </c>
      <c r="L155" s="13" t="n">
        <v>470</v>
      </c>
      <c r="M155" s="13" t="n">
        <v>9</v>
      </c>
      <c r="N155" s="16" t="n">
        <f aca="false">H155*Parameters!$B$6/60</f>
        <v>1.36916666666667</v>
      </c>
      <c r="O155" s="18" t="n">
        <f aca="false">IF(G155=0,0,H155/G155)</f>
        <v>9.54954954954955</v>
      </c>
      <c r="P155" s="18" t="n">
        <f aca="false">IF(N155=0,0,Parameters!$B$8/N155)</f>
        <v>34.327449786975</v>
      </c>
      <c r="Q155" s="28" t="n">
        <f aca="false">N155/Parameters!$B$8</f>
        <v>0.0291312056737589</v>
      </c>
    </row>
    <row r="156" customFormat="false" ht="15" hidden="false" customHeight="true" outlineLevel="0" collapsed="false">
      <c r="A156" s="13" t="s">
        <v>192</v>
      </c>
      <c r="B156" s="13" t="n">
        <v>9</v>
      </c>
      <c r="C156" s="13" t="n">
        <v>20</v>
      </c>
      <c r="D156" s="13" t="s">
        <v>136</v>
      </c>
      <c r="E156" s="13" t="n">
        <v>2</v>
      </c>
      <c r="F156" s="18" t="n">
        <v>0</v>
      </c>
      <c r="G156" s="13" t="n">
        <v>5.64</v>
      </c>
      <c r="H156" s="13" t="n">
        <v>53.1</v>
      </c>
      <c r="I156" s="13" t="n">
        <v>6.82</v>
      </c>
      <c r="J156" s="13" t="n">
        <v>0</v>
      </c>
      <c r="K156" s="13" t="n">
        <v>0</v>
      </c>
      <c r="L156" s="13" t="n">
        <v>471</v>
      </c>
      <c r="M156" s="13" t="n">
        <v>9</v>
      </c>
      <c r="N156" s="16" t="n">
        <f aca="false">H156*Parameters!$B$6/60</f>
        <v>1.37175</v>
      </c>
      <c r="O156" s="18" t="n">
        <f aca="false">IF(G156=0,0,H156/G156)</f>
        <v>9.41489361702128</v>
      </c>
      <c r="P156" s="18" t="n">
        <f aca="false">IF(N156=0,0,Parameters!$B$8/N156)</f>
        <v>34.2628029888828</v>
      </c>
      <c r="Q156" s="28" t="n">
        <f aca="false">N156/Parameters!$B$8</f>
        <v>0.029186170212766</v>
      </c>
    </row>
    <row r="157" customFormat="false" ht="15" hidden="false" customHeight="true" outlineLevel="0" collapsed="false">
      <c r="A157" s="13" t="s">
        <v>192</v>
      </c>
      <c r="B157" s="13" t="n">
        <v>9</v>
      </c>
      <c r="C157" s="13" t="n">
        <v>20</v>
      </c>
      <c r="D157" s="13" t="s">
        <v>136</v>
      </c>
      <c r="E157" s="13" t="n">
        <v>3</v>
      </c>
      <c r="F157" s="18" t="n">
        <v>0</v>
      </c>
      <c r="G157" s="13" t="n">
        <v>5.62</v>
      </c>
      <c r="H157" s="13" t="n">
        <v>53.1</v>
      </c>
      <c r="I157" s="13" t="n">
        <v>9.13</v>
      </c>
      <c r="J157" s="13" t="n">
        <v>0</v>
      </c>
      <c r="K157" s="13" t="n">
        <v>0</v>
      </c>
      <c r="L157" s="13" t="n">
        <v>471</v>
      </c>
      <c r="M157" s="13" t="n">
        <v>9</v>
      </c>
      <c r="N157" s="16" t="n">
        <f aca="false">H157*Parameters!$B$6/60</f>
        <v>1.37175</v>
      </c>
      <c r="O157" s="18" t="n">
        <f aca="false">IF(G157=0,0,H157/G157)</f>
        <v>9.44839857651246</v>
      </c>
      <c r="P157" s="18" t="n">
        <f aca="false">IF(N157=0,0,Parameters!$B$8/N157)</f>
        <v>34.2628029888828</v>
      </c>
      <c r="Q157" s="28" t="n">
        <f aca="false">N157/Parameters!$B$8</f>
        <v>0.029186170212766</v>
      </c>
    </row>
    <row r="158" customFormat="false" ht="15" hidden="false" customHeight="true" outlineLevel="0" collapsed="false">
      <c r="A158" s="13" t="s">
        <v>192</v>
      </c>
      <c r="B158" s="13" t="n">
        <v>9</v>
      </c>
      <c r="C158" s="13" t="n">
        <v>20</v>
      </c>
      <c r="D158" s="13" t="s">
        <v>136</v>
      </c>
      <c r="E158" s="13" t="n">
        <v>4</v>
      </c>
      <c r="F158" s="18" t="n">
        <v>0</v>
      </c>
      <c r="G158" s="13" t="n">
        <v>5.62</v>
      </c>
      <c r="H158" s="13" t="n">
        <v>53.1</v>
      </c>
      <c r="I158" s="13" t="n">
        <v>9.13</v>
      </c>
      <c r="J158" s="13" t="n">
        <v>0</v>
      </c>
      <c r="K158" s="13" t="n">
        <v>0</v>
      </c>
      <c r="L158" s="13" t="n">
        <v>471</v>
      </c>
      <c r="M158" s="13" t="n">
        <v>9</v>
      </c>
      <c r="N158" s="16" t="n">
        <f aca="false">H158*Parameters!$B$6/60</f>
        <v>1.37175</v>
      </c>
      <c r="O158" s="18" t="n">
        <f aca="false">IF(G158=0,0,H158/G158)</f>
        <v>9.44839857651246</v>
      </c>
      <c r="P158" s="18" t="n">
        <f aca="false">IF(N158=0,0,Parameters!$B$8/N158)</f>
        <v>34.2628029888828</v>
      </c>
      <c r="Q158" s="28" t="n">
        <f aca="false">N158/Parameters!$B$8</f>
        <v>0.029186170212766</v>
      </c>
    </row>
    <row r="159" customFormat="false" ht="15" hidden="false" customHeight="true" outlineLevel="0" collapsed="false">
      <c r="A159" s="13" t="s">
        <v>192</v>
      </c>
      <c r="B159" s="13" t="n">
        <v>9</v>
      </c>
      <c r="C159" s="13" t="n">
        <v>20</v>
      </c>
      <c r="D159" s="13" t="s">
        <v>137</v>
      </c>
      <c r="E159" s="13" t="n">
        <v>2</v>
      </c>
      <c r="F159" s="18" t="n">
        <v>0</v>
      </c>
      <c r="G159" s="13" t="n">
        <v>7.37</v>
      </c>
      <c r="H159" s="13" t="n">
        <v>53.1</v>
      </c>
      <c r="I159" s="13" t="n">
        <v>6.07</v>
      </c>
      <c r="J159" s="13" t="n">
        <v>0</v>
      </c>
      <c r="K159" s="13" t="n">
        <v>3</v>
      </c>
      <c r="L159" s="13" t="n">
        <v>483</v>
      </c>
      <c r="M159" s="13" t="n">
        <v>9</v>
      </c>
      <c r="N159" s="16" t="n">
        <f aca="false">H159*Parameters!$B$6/60</f>
        <v>1.37175</v>
      </c>
      <c r="O159" s="18" t="n">
        <f aca="false">IF(G159=0,0,H159/G159)</f>
        <v>7.20488466757124</v>
      </c>
      <c r="P159" s="18" t="n">
        <f aca="false">IF(N159=0,0,Parameters!$B$8/N159)</f>
        <v>34.2628029888828</v>
      </c>
      <c r="Q159" s="28" t="n">
        <f aca="false">N159/Parameters!$B$8</f>
        <v>0.029186170212766</v>
      </c>
    </row>
    <row r="160" customFormat="false" ht="15" hidden="false" customHeight="true" outlineLevel="0" collapsed="false">
      <c r="A160" s="13" t="s">
        <v>192</v>
      </c>
      <c r="B160" s="13" t="n">
        <v>9</v>
      </c>
      <c r="C160" s="13" t="n">
        <v>20</v>
      </c>
      <c r="D160" s="13" t="s">
        <v>137</v>
      </c>
      <c r="E160" s="13" t="n">
        <v>3</v>
      </c>
      <c r="F160" s="18" t="n">
        <v>0</v>
      </c>
      <c r="G160" s="13" t="n">
        <v>7.04</v>
      </c>
      <c r="H160" s="13" t="n">
        <v>53.3</v>
      </c>
      <c r="I160" s="13" t="n">
        <v>4.67</v>
      </c>
      <c r="J160" s="13" t="n">
        <v>0</v>
      </c>
      <c r="K160" s="13" t="n">
        <v>3</v>
      </c>
      <c r="L160" s="13" t="n">
        <v>481</v>
      </c>
      <c r="M160" s="13" t="n">
        <v>9</v>
      </c>
      <c r="N160" s="16" t="n">
        <f aca="false">H160*Parameters!$B$6/60</f>
        <v>1.37691666666667</v>
      </c>
      <c r="O160" s="18" t="n">
        <f aca="false">IF(G160=0,0,H160/G160)</f>
        <v>7.57102272727273</v>
      </c>
      <c r="P160" s="18" t="n">
        <f aca="false">IF(N160=0,0,Parameters!$B$8/N160)</f>
        <v>34.134237124009</v>
      </c>
      <c r="Q160" s="28" t="n">
        <f aca="false">N160/Parameters!$B$8</f>
        <v>0.0292960992907801</v>
      </c>
    </row>
    <row r="161" customFormat="false" ht="15" hidden="false" customHeight="true" outlineLevel="0" collapsed="false">
      <c r="A161" s="13" t="s">
        <v>192</v>
      </c>
      <c r="B161" s="13" t="n">
        <v>9</v>
      </c>
      <c r="C161" s="13" t="n">
        <v>20</v>
      </c>
      <c r="D161" s="13" t="s">
        <v>137</v>
      </c>
      <c r="E161" s="13" t="n">
        <v>4</v>
      </c>
      <c r="F161" s="18" t="n">
        <v>4.4</v>
      </c>
      <c r="G161" s="13" t="n">
        <v>10.27</v>
      </c>
      <c r="H161" s="13" t="n">
        <v>55.7</v>
      </c>
      <c r="I161" s="13" t="n">
        <v>5.7</v>
      </c>
      <c r="J161" s="13" t="n">
        <v>0</v>
      </c>
      <c r="K161" s="13" t="n">
        <v>3</v>
      </c>
      <c r="L161" s="13" t="n">
        <v>473</v>
      </c>
      <c r="M161" s="13" t="n">
        <v>9</v>
      </c>
      <c r="N161" s="16" t="n">
        <f aca="false">H161*Parameters!$B$6/60</f>
        <v>1.43891666666667</v>
      </c>
      <c r="O161" s="18" t="n">
        <f aca="false">IF(G161=0,0,H161/G161)</f>
        <v>5.42356377799416</v>
      </c>
      <c r="P161" s="18" t="n">
        <f aca="false">IF(N161=0,0,Parameters!$B$8/N161)</f>
        <v>32.6634620953263</v>
      </c>
      <c r="Q161" s="28" t="n">
        <f aca="false">N161/Parameters!$B$8</f>
        <v>0.0306152482269504</v>
      </c>
    </row>
    <row r="162" customFormat="false" ht="15" hidden="false" customHeight="true" outlineLevel="0" collapsed="false">
      <c r="A162" s="13" t="s">
        <v>220</v>
      </c>
      <c r="B162" s="13" t="n">
        <v>3</v>
      </c>
      <c r="C162" s="13" t="n">
        <v>6</v>
      </c>
      <c r="D162" s="13" t="s">
        <v>134</v>
      </c>
      <c r="E162" s="13" t="n">
        <v>0</v>
      </c>
      <c r="F162" s="18" t="n">
        <v>100</v>
      </c>
      <c r="G162" s="13" t="n">
        <v>6.45</v>
      </c>
      <c r="H162" s="13" t="n">
        <v>30</v>
      </c>
      <c r="I162" s="13" t="n">
        <v>6.57</v>
      </c>
      <c r="J162" s="13" t="n">
        <v>0</v>
      </c>
      <c r="K162" s="13" t="n">
        <v>0</v>
      </c>
      <c r="L162" s="13" t="n">
        <v>104</v>
      </c>
      <c r="M162" s="13" t="n">
        <v>3</v>
      </c>
      <c r="N162" s="16" t="n">
        <f aca="false">H162*Parameters!$B$6/60</f>
        <v>0.775</v>
      </c>
      <c r="O162" s="18" t="n">
        <f aca="false">IF(G162=0,0,H162/G162)</f>
        <v>4.65116279069768</v>
      </c>
      <c r="P162" s="18" t="n">
        <f aca="false">IF(N162=0,0,Parameters!$B$8/N162)</f>
        <v>60.6451612903226</v>
      </c>
      <c r="Q162" s="28" t="n">
        <f aca="false">N162/Parameters!$B$8</f>
        <v>0.0164893617021277</v>
      </c>
    </row>
    <row r="163" customFormat="false" ht="15" hidden="false" customHeight="true" outlineLevel="0" collapsed="false">
      <c r="A163" s="13" t="s">
        <v>220</v>
      </c>
      <c r="B163" s="13" t="n">
        <v>3</v>
      </c>
      <c r="C163" s="13" t="n">
        <v>6</v>
      </c>
      <c r="D163" s="13" t="s">
        <v>135</v>
      </c>
      <c r="E163" s="13" t="n">
        <v>2</v>
      </c>
      <c r="F163" s="18" t="n">
        <v>100</v>
      </c>
      <c r="G163" s="13" t="n">
        <v>6</v>
      </c>
      <c r="H163" s="13" t="n">
        <v>26.9</v>
      </c>
      <c r="I163" s="13" t="n">
        <v>6.31</v>
      </c>
      <c r="J163" s="13" t="n">
        <v>6.31</v>
      </c>
      <c r="K163" s="13" t="n">
        <v>0</v>
      </c>
      <c r="L163" s="13" t="n">
        <v>101</v>
      </c>
      <c r="M163" s="13" t="n">
        <v>3</v>
      </c>
      <c r="N163" s="16" t="n">
        <f aca="false">H163*Parameters!$B$6/60</f>
        <v>0.694916666666667</v>
      </c>
      <c r="O163" s="18" t="n">
        <f aca="false">IF(G163=0,0,H163/G163)</f>
        <v>4.48333333333333</v>
      </c>
      <c r="P163" s="18" t="n">
        <f aca="false">IF(N163=0,0,Parameters!$B$8/N163)</f>
        <v>67.6340088739657</v>
      </c>
      <c r="Q163" s="28" t="n">
        <f aca="false">N163/Parameters!$B$8</f>
        <v>0.0147854609929078</v>
      </c>
    </row>
    <row r="164" customFormat="false" ht="15" hidden="false" customHeight="true" outlineLevel="0" collapsed="false">
      <c r="A164" s="13" t="s">
        <v>220</v>
      </c>
      <c r="B164" s="13" t="n">
        <v>3</v>
      </c>
      <c r="C164" s="13" t="n">
        <v>6</v>
      </c>
      <c r="D164" s="13" t="s">
        <v>135</v>
      </c>
      <c r="E164" s="13" t="n">
        <v>3</v>
      </c>
      <c r="F164" s="18" t="n">
        <v>100</v>
      </c>
      <c r="G164" s="13" t="n">
        <v>6</v>
      </c>
      <c r="H164" s="13" t="n">
        <v>26.9</v>
      </c>
      <c r="I164" s="13" t="n">
        <v>6.31</v>
      </c>
      <c r="J164" s="13" t="n">
        <v>12.62</v>
      </c>
      <c r="K164" s="13" t="n">
        <v>0</v>
      </c>
      <c r="L164" s="13" t="n">
        <v>101</v>
      </c>
      <c r="M164" s="13" t="n">
        <v>3</v>
      </c>
      <c r="N164" s="16" t="n">
        <f aca="false">H164*Parameters!$B$6/60</f>
        <v>0.694916666666667</v>
      </c>
      <c r="O164" s="18" t="n">
        <f aca="false">IF(G164=0,0,H164/G164)</f>
        <v>4.48333333333333</v>
      </c>
      <c r="P164" s="18" t="n">
        <f aca="false">IF(N164=0,0,Parameters!$B$8/N164)</f>
        <v>67.6340088739657</v>
      </c>
      <c r="Q164" s="28" t="n">
        <f aca="false">N164/Parameters!$B$8</f>
        <v>0.0147854609929078</v>
      </c>
    </row>
    <row r="165" customFormat="false" ht="15" hidden="false" customHeight="true" outlineLevel="0" collapsed="false">
      <c r="A165" s="13" t="s">
        <v>220</v>
      </c>
      <c r="B165" s="13" t="n">
        <v>3</v>
      </c>
      <c r="C165" s="13" t="n">
        <v>6</v>
      </c>
      <c r="D165" s="13" t="s">
        <v>135</v>
      </c>
      <c r="E165" s="13" t="n">
        <v>4</v>
      </c>
      <c r="F165" s="18" t="n">
        <v>100</v>
      </c>
      <c r="G165" s="13" t="n">
        <v>5.91</v>
      </c>
      <c r="H165" s="13" t="n">
        <v>25.8</v>
      </c>
      <c r="I165" s="13" t="n">
        <v>6.11</v>
      </c>
      <c r="J165" s="13" t="n">
        <v>18.32</v>
      </c>
      <c r="K165" s="13" t="n">
        <v>0</v>
      </c>
      <c r="L165" s="13" t="n">
        <v>101</v>
      </c>
      <c r="M165" s="13" t="n">
        <v>3</v>
      </c>
      <c r="N165" s="16" t="n">
        <f aca="false">H165*Parameters!$B$6/60</f>
        <v>0.6665</v>
      </c>
      <c r="O165" s="18" t="n">
        <f aca="false">IF(G165=0,0,H165/G165)</f>
        <v>4.36548223350254</v>
      </c>
      <c r="P165" s="18" t="n">
        <f aca="false">IF(N165=0,0,Parameters!$B$8/N165)</f>
        <v>70.5176294073518</v>
      </c>
      <c r="Q165" s="28" t="n">
        <f aca="false">N165/Parameters!$B$8</f>
        <v>0.0141808510638298</v>
      </c>
    </row>
    <row r="166" customFormat="false" ht="15" hidden="false" customHeight="true" outlineLevel="0" collapsed="false">
      <c r="A166" s="13" t="s">
        <v>220</v>
      </c>
      <c r="B166" s="13" t="n">
        <v>3</v>
      </c>
      <c r="C166" s="13" t="n">
        <v>6</v>
      </c>
      <c r="D166" s="13" t="s">
        <v>136</v>
      </c>
      <c r="E166" s="13" t="n">
        <v>2</v>
      </c>
      <c r="F166" s="18" t="n">
        <v>100</v>
      </c>
      <c r="G166" s="13" t="n">
        <v>5</v>
      </c>
      <c r="H166" s="13" t="n">
        <v>22.3</v>
      </c>
      <c r="I166" s="13" t="n">
        <v>6.83</v>
      </c>
      <c r="J166" s="13" t="n">
        <v>0</v>
      </c>
      <c r="K166" s="13" t="n">
        <v>0</v>
      </c>
      <c r="L166" s="13" t="n">
        <v>69</v>
      </c>
      <c r="M166" s="13" t="n">
        <v>3</v>
      </c>
      <c r="N166" s="16" t="n">
        <f aca="false">H166*Parameters!$B$6/60</f>
        <v>0.576083333333333</v>
      </c>
      <c r="O166" s="18" t="n">
        <f aca="false">IF(G166=0,0,H166/G166)</f>
        <v>4.46</v>
      </c>
      <c r="P166" s="18" t="n">
        <f aca="false">IF(N166=0,0,Parameters!$B$8/N166)</f>
        <v>81.5854187762187</v>
      </c>
      <c r="Q166" s="28" t="n">
        <f aca="false">N166/Parameters!$B$8</f>
        <v>0.0122570921985816</v>
      </c>
    </row>
    <row r="167" customFormat="false" ht="15" hidden="false" customHeight="true" outlineLevel="0" collapsed="false">
      <c r="A167" s="13" t="s">
        <v>220</v>
      </c>
      <c r="B167" s="13" t="n">
        <v>3</v>
      </c>
      <c r="C167" s="13" t="n">
        <v>6</v>
      </c>
      <c r="D167" s="13" t="s">
        <v>136</v>
      </c>
      <c r="E167" s="13" t="n">
        <v>3</v>
      </c>
      <c r="F167" s="18" t="n">
        <v>100</v>
      </c>
      <c r="G167" s="13" t="n">
        <v>5</v>
      </c>
      <c r="H167" s="13" t="n">
        <v>22.1</v>
      </c>
      <c r="I167" s="13" t="n">
        <v>6.83</v>
      </c>
      <c r="J167" s="13" t="n">
        <v>0</v>
      </c>
      <c r="K167" s="13" t="n">
        <v>0</v>
      </c>
      <c r="L167" s="13" t="n">
        <v>69</v>
      </c>
      <c r="M167" s="13" t="n">
        <v>3</v>
      </c>
      <c r="N167" s="16" t="n">
        <f aca="false">H167*Parameters!$B$6/60</f>
        <v>0.570916666666667</v>
      </c>
      <c r="O167" s="18" t="n">
        <f aca="false">IF(G167=0,0,H167/G167)</f>
        <v>4.42</v>
      </c>
      <c r="P167" s="18" t="n">
        <f aca="false">IF(N167=0,0,Parameters!$B$8/N167)</f>
        <v>82.323748357904</v>
      </c>
      <c r="Q167" s="28" t="n">
        <f aca="false">N167/Parameters!$B$8</f>
        <v>0.0121471631205674</v>
      </c>
    </row>
    <row r="168" customFormat="false" ht="15" hidden="false" customHeight="true" outlineLevel="0" collapsed="false">
      <c r="A168" s="13" t="s">
        <v>220</v>
      </c>
      <c r="B168" s="13" t="n">
        <v>3</v>
      </c>
      <c r="C168" s="13" t="n">
        <v>6</v>
      </c>
      <c r="D168" s="13" t="s">
        <v>136</v>
      </c>
      <c r="E168" s="13" t="n">
        <v>4</v>
      </c>
      <c r="F168" s="18" t="n">
        <v>100</v>
      </c>
      <c r="G168" s="13" t="n">
        <v>5</v>
      </c>
      <c r="H168" s="13" t="n">
        <v>21.7</v>
      </c>
      <c r="I168" s="13" t="n">
        <v>7.12</v>
      </c>
      <c r="J168" s="13" t="n">
        <v>0</v>
      </c>
      <c r="K168" s="13" t="n">
        <v>0</v>
      </c>
      <c r="L168" s="13" t="n">
        <v>50</v>
      </c>
      <c r="M168" s="13" t="n">
        <v>3</v>
      </c>
      <c r="N168" s="16" t="n">
        <f aca="false">H168*Parameters!$B$6/60</f>
        <v>0.560583333333333</v>
      </c>
      <c r="O168" s="18" t="n">
        <f aca="false">IF(G168=0,0,H168/G168)</f>
        <v>4.34</v>
      </c>
      <c r="P168" s="18" t="n">
        <f aca="false">IF(N168=0,0,Parameters!$B$8/N168)</f>
        <v>83.8412368068976</v>
      </c>
      <c r="Q168" s="28" t="n">
        <f aca="false">N168/Parameters!$B$8</f>
        <v>0.011927304964539</v>
      </c>
    </row>
    <row r="169" customFormat="false" ht="15" hidden="false" customHeight="true" outlineLevel="0" collapsed="false">
      <c r="A169" s="13" t="s">
        <v>220</v>
      </c>
      <c r="B169" s="13" t="n">
        <v>3</v>
      </c>
      <c r="C169" s="13" t="n">
        <v>6</v>
      </c>
      <c r="D169" s="13" t="s">
        <v>137</v>
      </c>
      <c r="E169" s="13" t="n">
        <v>2</v>
      </c>
      <c r="F169" s="18" t="n">
        <v>100</v>
      </c>
      <c r="G169" s="13" t="n">
        <v>4.03</v>
      </c>
      <c r="H169" s="13" t="n">
        <v>20</v>
      </c>
      <c r="I169" s="13" t="n">
        <v>2</v>
      </c>
      <c r="J169" s="13" t="n">
        <v>0</v>
      </c>
      <c r="K169" s="13" t="n">
        <v>3</v>
      </c>
      <c r="L169" s="13" t="n">
        <v>69</v>
      </c>
      <c r="M169" s="13" t="n">
        <v>3</v>
      </c>
      <c r="N169" s="16" t="n">
        <f aca="false">H169*Parameters!$B$6/60</f>
        <v>0.516666666666667</v>
      </c>
      <c r="O169" s="18" t="n">
        <f aca="false">IF(G169=0,0,H169/G169)</f>
        <v>4.96277915632754</v>
      </c>
      <c r="P169" s="18" t="n">
        <f aca="false">IF(N169=0,0,Parameters!$B$8/N169)</f>
        <v>90.9677419354839</v>
      </c>
      <c r="Q169" s="28" t="n">
        <f aca="false">N169/Parameters!$B$8</f>
        <v>0.0109929078014184</v>
      </c>
    </row>
    <row r="170" customFormat="false" ht="15" hidden="false" customHeight="true" outlineLevel="0" collapsed="false">
      <c r="A170" s="13" t="s">
        <v>220</v>
      </c>
      <c r="B170" s="13" t="n">
        <v>3</v>
      </c>
      <c r="C170" s="13" t="n">
        <v>6</v>
      </c>
      <c r="D170" s="13" t="s">
        <v>137</v>
      </c>
      <c r="E170" s="13" t="n">
        <v>3</v>
      </c>
      <c r="F170" s="18" t="n">
        <v>100</v>
      </c>
      <c r="G170" s="13" t="n">
        <v>3</v>
      </c>
      <c r="H170" s="13" t="n">
        <v>15.1</v>
      </c>
      <c r="I170" s="13" t="n">
        <v>2</v>
      </c>
      <c r="J170" s="13" t="n">
        <v>0</v>
      </c>
      <c r="K170" s="13" t="n">
        <v>3</v>
      </c>
      <c r="L170" s="13" t="n">
        <v>52</v>
      </c>
      <c r="M170" s="13" t="n">
        <v>3</v>
      </c>
      <c r="N170" s="16" t="n">
        <f aca="false">H170*Parameters!$B$6/60</f>
        <v>0.390083333333333</v>
      </c>
      <c r="O170" s="18" t="n">
        <f aca="false">IF(G170=0,0,H170/G170)</f>
        <v>5.03333333333333</v>
      </c>
      <c r="P170" s="18" t="n">
        <f aca="false">IF(N170=0,0,Parameters!$B$8/N170)</f>
        <v>120.487075411237</v>
      </c>
      <c r="Q170" s="28" t="n">
        <f aca="false">N170/Parameters!$B$8</f>
        <v>0.00829964539007092</v>
      </c>
    </row>
    <row r="171" customFormat="false" ht="15" hidden="false" customHeight="true" outlineLevel="0" collapsed="false">
      <c r="A171" s="13" t="s">
        <v>220</v>
      </c>
      <c r="B171" s="13" t="n">
        <v>3</v>
      </c>
      <c r="C171" s="13" t="n">
        <v>6</v>
      </c>
      <c r="D171" s="13" t="s">
        <v>137</v>
      </c>
      <c r="E171" s="13" t="n">
        <v>4</v>
      </c>
      <c r="F171" s="18" t="n">
        <v>100</v>
      </c>
      <c r="G171" s="13" t="n">
        <v>3</v>
      </c>
      <c r="H171" s="13" t="n">
        <v>17.2</v>
      </c>
      <c r="I171" s="13" t="n">
        <v>3</v>
      </c>
      <c r="J171" s="13" t="n">
        <v>0</v>
      </c>
      <c r="K171" s="13" t="n">
        <v>3</v>
      </c>
      <c r="L171" s="13" t="n">
        <v>70</v>
      </c>
      <c r="M171" s="13" t="n">
        <v>3</v>
      </c>
      <c r="N171" s="16" t="n">
        <f aca="false">H171*Parameters!$B$6/60</f>
        <v>0.444333333333333</v>
      </c>
      <c r="O171" s="18" t="n">
        <f aca="false">IF(G171=0,0,H171/G171)</f>
        <v>5.73333333333333</v>
      </c>
      <c r="P171" s="18" t="n">
        <f aca="false">IF(N171=0,0,Parameters!$B$8/N171)</f>
        <v>105.776444111028</v>
      </c>
      <c r="Q171" s="28" t="n">
        <f aca="false">N171/Parameters!$B$8</f>
        <v>0.00945390070921986</v>
      </c>
    </row>
    <row r="172" customFormat="false" ht="15" hidden="false" customHeight="true" outlineLevel="0" collapsed="false">
      <c r="A172" s="13" t="s">
        <v>220</v>
      </c>
      <c r="B172" s="13" t="n">
        <v>3</v>
      </c>
      <c r="C172" s="13" t="n">
        <v>12</v>
      </c>
      <c r="D172" s="13" t="s">
        <v>134</v>
      </c>
      <c r="E172" s="13" t="n">
        <v>0</v>
      </c>
      <c r="F172" s="18" t="n">
        <v>69.2</v>
      </c>
      <c r="G172" s="13" t="n">
        <v>14.12</v>
      </c>
      <c r="H172" s="13" t="n">
        <v>67.8</v>
      </c>
      <c r="I172" s="13" t="n">
        <v>13.55</v>
      </c>
      <c r="J172" s="13" t="n">
        <v>0</v>
      </c>
      <c r="K172" s="13" t="n">
        <v>0</v>
      </c>
      <c r="L172" s="13" t="n">
        <v>385</v>
      </c>
      <c r="M172" s="13" t="n">
        <v>3</v>
      </c>
      <c r="N172" s="16" t="n">
        <f aca="false">H172*Parameters!$B$6/60</f>
        <v>1.7515</v>
      </c>
      <c r="O172" s="18" t="n">
        <f aca="false">IF(G172=0,0,H172/G172)</f>
        <v>4.80169971671388</v>
      </c>
      <c r="P172" s="18" t="n">
        <f aca="false">IF(N172=0,0,Parameters!$B$8/N172)</f>
        <v>26.8341421638595</v>
      </c>
      <c r="Q172" s="28" t="n">
        <f aca="false">N172/Parameters!$B$8</f>
        <v>0.0372659574468085</v>
      </c>
    </row>
    <row r="173" customFormat="false" ht="15" hidden="false" customHeight="true" outlineLevel="0" collapsed="false">
      <c r="A173" s="13" t="s">
        <v>220</v>
      </c>
      <c r="B173" s="13" t="n">
        <v>3</v>
      </c>
      <c r="C173" s="13" t="n">
        <v>12</v>
      </c>
      <c r="D173" s="13" t="s">
        <v>135</v>
      </c>
      <c r="E173" s="13" t="n">
        <v>2</v>
      </c>
      <c r="F173" s="18" t="n">
        <v>84</v>
      </c>
      <c r="G173" s="13" t="n">
        <v>12.5</v>
      </c>
      <c r="H173" s="13" t="n">
        <v>61.2</v>
      </c>
      <c r="I173" s="13" t="n">
        <v>13.21</v>
      </c>
      <c r="J173" s="13" t="n">
        <v>13.12</v>
      </c>
      <c r="K173" s="13" t="n">
        <v>0</v>
      </c>
      <c r="L173" s="13" t="n">
        <v>348</v>
      </c>
      <c r="M173" s="13" t="n">
        <v>3</v>
      </c>
      <c r="N173" s="16" t="n">
        <f aca="false">H173*Parameters!$B$6/60</f>
        <v>1.581</v>
      </c>
      <c r="O173" s="18" t="n">
        <f aca="false">IF(G173=0,0,H173/G173)</f>
        <v>4.896</v>
      </c>
      <c r="P173" s="18" t="n">
        <f aca="false">IF(N173=0,0,Parameters!$B$8/N173)</f>
        <v>29.7280202403542</v>
      </c>
      <c r="Q173" s="28" t="n">
        <f aca="false">N173/Parameters!$B$8</f>
        <v>0.0336382978723404</v>
      </c>
    </row>
    <row r="174" customFormat="false" ht="15" hidden="false" customHeight="true" outlineLevel="0" collapsed="false">
      <c r="A174" s="13" t="s">
        <v>220</v>
      </c>
      <c r="B174" s="13" t="n">
        <v>3</v>
      </c>
      <c r="C174" s="13" t="n">
        <v>12</v>
      </c>
      <c r="D174" s="13" t="s">
        <v>135</v>
      </c>
      <c r="E174" s="13" t="n">
        <v>3</v>
      </c>
      <c r="F174" s="18" t="n">
        <v>93.2</v>
      </c>
      <c r="G174" s="13" t="n">
        <v>11.38</v>
      </c>
      <c r="H174" s="13" t="n">
        <v>57.4</v>
      </c>
      <c r="I174" s="13" t="n">
        <v>13.01</v>
      </c>
      <c r="J174" s="13" t="n">
        <v>25.58</v>
      </c>
      <c r="K174" s="13" t="n">
        <v>0</v>
      </c>
      <c r="L174" s="13" t="n">
        <v>328</v>
      </c>
      <c r="M174" s="13" t="n">
        <v>3</v>
      </c>
      <c r="N174" s="16" t="n">
        <f aca="false">H174*Parameters!$B$6/60</f>
        <v>1.48283333333333</v>
      </c>
      <c r="O174" s="18" t="n">
        <f aca="false">IF(G174=0,0,H174/G174)</f>
        <v>5.04393673110721</v>
      </c>
      <c r="P174" s="18" t="n">
        <f aca="false">IF(N174=0,0,Parameters!$B$8/N174)</f>
        <v>31.6960773294369</v>
      </c>
      <c r="Q174" s="28" t="n">
        <f aca="false">N174/Parameters!$B$8</f>
        <v>0.0315496453900709</v>
      </c>
    </row>
    <row r="175" customFormat="false" ht="15" hidden="false" customHeight="true" outlineLevel="0" collapsed="false">
      <c r="A175" s="13" t="s">
        <v>220</v>
      </c>
      <c r="B175" s="13" t="n">
        <v>3</v>
      </c>
      <c r="C175" s="13" t="n">
        <v>12</v>
      </c>
      <c r="D175" s="13" t="s">
        <v>135</v>
      </c>
      <c r="E175" s="13" t="n">
        <v>4</v>
      </c>
      <c r="F175" s="18" t="n">
        <v>95.2</v>
      </c>
      <c r="G175" s="13" t="n">
        <v>10.88</v>
      </c>
      <c r="H175" s="13" t="n">
        <v>56</v>
      </c>
      <c r="I175" s="13" t="n">
        <v>12.79</v>
      </c>
      <c r="J175" s="13" t="n">
        <v>36.04</v>
      </c>
      <c r="K175" s="13" t="n">
        <v>0</v>
      </c>
      <c r="L175" s="13" t="n">
        <v>315</v>
      </c>
      <c r="M175" s="13" t="n">
        <v>3</v>
      </c>
      <c r="N175" s="16" t="n">
        <f aca="false">H175*Parameters!$B$6/60</f>
        <v>1.44666666666667</v>
      </c>
      <c r="O175" s="18" t="n">
        <f aca="false">IF(G175=0,0,H175/G175)</f>
        <v>5.14705882352941</v>
      </c>
      <c r="P175" s="18" t="n">
        <f aca="false">IF(N175=0,0,Parameters!$B$8/N175)</f>
        <v>32.4884792626728</v>
      </c>
      <c r="Q175" s="28" t="n">
        <f aca="false">N175/Parameters!$B$8</f>
        <v>0.0307801418439716</v>
      </c>
    </row>
    <row r="176" customFormat="false" ht="15" hidden="false" customHeight="true" outlineLevel="0" collapsed="false">
      <c r="A176" s="13" t="s">
        <v>220</v>
      </c>
      <c r="B176" s="13" t="n">
        <v>3</v>
      </c>
      <c r="C176" s="13" t="n">
        <v>12</v>
      </c>
      <c r="D176" s="13" t="s">
        <v>136</v>
      </c>
      <c r="E176" s="13" t="n">
        <v>2</v>
      </c>
      <c r="F176" s="18" t="n">
        <v>100</v>
      </c>
      <c r="G176" s="13" t="n">
        <v>10.18</v>
      </c>
      <c r="H176" s="13" t="n">
        <v>50.9</v>
      </c>
      <c r="I176" s="13" t="n">
        <v>14.96</v>
      </c>
      <c r="J176" s="13" t="n">
        <v>0</v>
      </c>
      <c r="K176" s="13" t="n">
        <v>0</v>
      </c>
      <c r="L176" s="13" t="n">
        <v>224</v>
      </c>
      <c r="M176" s="13" t="n">
        <v>3</v>
      </c>
      <c r="N176" s="16" t="n">
        <f aca="false">H176*Parameters!$B$6/60</f>
        <v>1.31491666666667</v>
      </c>
      <c r="O176" s="18" t="n">
        <f aca="false">IF(G176=0,0,H176/G176)</f>
        <v>5</v>
      </c>
      <c r="P176" s="18" t="n">
        <f aca="false">IF(N176=0,0,Parameters!$B$8/N176)</f>
        <v>35.7437099942962</v>
      </c>
      <c r="Q176" s="28" t="n">
        <f aca="false">N176/Parameters!$B$8</f>
        <v>0.0279769503546099</v>
      </c>
    </row>
    <row r="177" customFormat="false" ht="15" hidden="false" customHeight="true" outlineLevel="0" collapsed="false">
      <c r="A177" s="13" t="s">
        <v>220</v>
      </c>
      <c r="B177" s="13" t="n">
        <v>3</v>
      </c>
      <c r="C177" s="13" t="n">
        <v>12</v>
      </c>
      <c r="D177" s="13" t="s">
        <v>136</v>
      </c>
      <c r="E177" s="13" t="n">
        <v>3</v>
      </c>
      <c r="F177" s="18" t="n">
        <v>100</v>
      </c>
      <c r="G177" s="13" t="n">
        <v>9.88</v>
      </c>
      <c r="H177" s="13" t="n">
        <v>48.7</v>
      </c>
      <c r="I177" s="13" t="n">
        <v>15.28</v>
      </c>
      <c r="J177" s="13" t="n">
        <v>0</v>
      </c>
      <c r="K177" s="13" t="n">
        <v>0</v>
      </c>
      <c r="L177" s="13" t="n">
        <v>212</v>
      </c>
      <c r="M177" s="13" t="n">
        <v>3</v>
      </c>
      <c r="N177" s="16" t="n">
        <f aca="false">H177*Parameters!$B$6/60</f>
        <v>1.25808333333333</v>
      </c>
      <c r="O177" s="18" t="n">
        <f aca="false">IF(G177=0,0,H177/G177)</f>
        <v>4.92914979757085</v>
      </c>
      <c r="P177" s="18" t="n">
        <f aca="false">IF(N177=0,0,Parameters!$B$8/N177)</f>
        <v>37.3584155792542</v>
      </c>
      <c r="Q177" s="28" t="n">
        <f aca="false">N177/Parameters!$B$8</f>
        <v>0.0267677304964539</v>
      </c>
    </row>
    <row r="178" customFormat="false" ht="15" hidden="false" customHeight="true" outlineLevel="0" collapsed="false">
      <c r="A178" s="13" t="s">
        <v>220</v>
      </c>
      <c r="B178" s="13" t="n">
        <v>3</v>
      </c>
      <c r="C178" s="13" t="n">
        <v>12</v>
      </c>
      <c r="D178" s="13" t="s">
        <v>136</v>
      </c>
      <c r="E178" s="13" t="n">
        <v>4</v>
      </c>
      <c r="F178" s="18" t="n">
        <v>100</v>
      </c>
      <c r="G178" s="13" t="n">
        <v>9.44</v>
      </c>
      <c r="H178" s="13" t="n">
        <v>47.3</v>
      </c>
      <c r="I178" s="13" t="n">
        <v>15.7</v>
      </c>
      <c r="J178" s="13" t="n">
        <v>0</v>
      </c>
      <c r="K178" s="13" t="n">
        <v>0</v>
      </c>
      <c r="L178" s="13" t="n">
        <v>163</v>
      </c>
      <c r="M178" s="13" t="n">
        <v>3</v>
      </c>
      <c r="N178" s="16" t="n">
        <f aca="false">H178*Parameters!$B$6/60</f>
        <v>1.22191666666667</v>
      </c>
      <c r="O178" s="18" t="n">
        <f aca="false">IF(G178=0,0,H178/G178)</f>
        <v>5.01059322033898</v>
      </c>
      <c r="P178" s="18" t="n">
        <f aca="false">IF(N178=0,0,Parameters!$B$8/N178)</f>
        <v>38.4641614949192</v>
      </c>
      <c r="Q178" s="28" t="n">
        <f aca="false">N178/Parameters!$B$8</f>
        <v>0.0259982269503546</v>
      </c>
    </row>
    <row r="179" customFormat="false" ht="15" hidden="false" customHeight="true" outlineLevel="0" collapsed="false">
      <c r="A179" s="13" t="s">
        <v>220</v>
      </c>
      <c r="B179" s="13" t="n">
        <v>3</v>
      </c>
      <c r="C179" s="13" t="n">
        <v>12</v>
      </c>
      <c r="D179" s="13" t="s">
        <v>137</v>
      </c>
      <c r="E179" s="13" t="n">
        <v>2</v>
      </c>
      <c r="F179" s="18" t="n">
        <v>98</v>
      </c>
      <c r="G179" s="13" t="n">
        <v>10.67</v>
      </c>
      <c r="H179" s="13" t="n">
        <v>57.5</v>
      </c>
      <c r="I179" s="13" t="n">
        <v>9.82</v>
      </c>
      <c r="J179" s="13" t="n">
        <v>0</v>
      </c>
      <c r="K179" s="13" t="n">
        <v>3</v>
      </c>
      <c r="L179" s="13" t="n">
        <v>295</v>
      </c>
      <c r="M179" s="13" t="n">
        <v>3</v>
      </c>
      <c r="N179" s="16" t="n">
        <f aca="false">H179*Parameters!$B$6/60</f>
        <v>1.48541666666667</v>
      </c>
      <c r="O179" s="18" t="n">
        <f aca="false">IF(G179=0,0,H179/G179)</f>
        <v>5.38894095595127</v>
      </c>
      <c r="P179" s="18" t="n">
        <f aca="false">IF(N179=0,0,Parameters!$B$8/N179)</f>
        <v>31.64095371669</v>
      </c>
      <c r="Q179" s="28" t="n">
        <f aca="false">N179/Parameters!$B$8</f>
        <v>0.031604609929078</v>
      </c>
    </row>
    <row r="180" customFormat="false" ht="15" hidden="false" customHeight="true" outlineLevel="0" collapsed="false">
      <c r="A180" s="13" t="s">
        <v>220</v>
      </c>
      <c r="B180" s="13" t="n">
        <v>3</v>
      </c>
      <c r="C180" s="13" t="n">
        <v>12</v>
      </c>
      <c r="D180" s="13" t="s">
        <v>137</v>
      </c>
      <c r="E180" s="13" t="n">
        <v>3</v>
      </c>
      <c r="F180" s="18" t="n">
        <v>98</v>
      </c>
      <c r="G180" s="13" t="n">
        <v>10.4</v>
      </c>
      <c r="H180" s="13" t="n">
        <v>55.5</v>
      </c>
      <c r="I180" s="13" t="n">
        <v>9.63</v>
      </c>
      <c r="J180" s="13" t="n">
        <v>0</v>
      </c>
      <c r="K180" s="13" t="n">
        <v>3</v>
      </c>
      <c r="L180" s="13" t="n">
        <v>281</v>
      </c>
      <c r="M180" s="13" t="n">
        <v>3</v>
      </c>
      <c r="N180" s="16" t="n">
        <f aca="false">H180*Parameters!$B$6/60</f>
        <v>1.43375</v>
      </c>
      <c r="O180" s="18" t="n">
        <f aca="false">IF(G180=0,0,H180/G180)</f>
        <v>5.33653846153846</v>
      </c>
      <c r="P180" s="18" t="n">
        <f aca="false">IF(N180=0,0,Parameters!$B$8/N180)</f>
        <v>32.7811682650392</v>
      </c>
      <c r="Q180" s="28" t="n">
        <f aca="false">N180/Parameters!$B$8</f>
        <v>0.0305053191489362</v>
      </c>
    </row>
    <row r="181" customFormat="false" ht="15" hidden="false" customHeight="true" outlineLevel="0" collapsed="false">
      <c r="A181" s="13" t="s">
        <v>220</v>
      </c>
      <c r="B181" s="13" t="n">
        <v>3</v>
      </c>
      <c r="C181" s="13" t="n">
        <v>12</v>
      </c>
      <c r="D181" s="13" t="s">
        <v>137</v>
      </c>
      <c r="E181" s="13" t="n">
        <v>4</v>
      </c>
      <c r="F181" s="18" t="n">
        <v>100</v>
      </c>
      <c r="G181" s="13" t="n">
        <v>9.2</v>
      </c>
      <c r="H181" s="13" t="n">
        <v>48.9</v>
      </c>
      <c r="I181" s="13" t="n">
        <v>9.52</v>
      </c>
      <c r="J181" s="13" t="n">
        <v>0</v>
      </c>
      <c r="K181" s="13" t="n">
        <v>3</v>
      </c>
      <c r="L181" s="13" t="n">
        <v>251</v>
      </c>
      <c r="M181" s="13" t="n">
        <v>3</v>
      </c>
      <c r="N181" s="16" t="n">
        <f aca="false">H181*Parameters!$B$6/60</f>
        <v>1.26325</v>
      </c>
      <c r="O181" s="18" t="n">
        <f aca="false">IF(G181=0,0,H181/G181)</f>
        <v>5.31521739130435</v>
      </c>
      <c r="P181" s="18" t="n">
        <f aca="false">IF(N181=0,0,Parameters!$B$8/N181)</f>
        <v>37.2056204235108</v>
      </c>
      <c r="Q181" s="28" t="n">
        <f aca="false">N181/Parameters!$B$8</f>
        <v>0.0268776595744681</v>
      </c>
    </row>
    <row r="182" customFormat="false" ht="15" hidden="false" customHeight="true" outlineLevel="0" collapsed="false">
      <c r="A182" s="13" t="s">
        <v>220</v>
      </c>
      <c r="B182" s="13" t="n">
        <v>3</v>
      </c>
      <c r="C182" s="13" t="n">
        <v>20</v>
      </c>
      <c r="D182" s="13" t="s">
        <v>134</v>
      </c>
      <c r="E182" s="13" t="n">
        <v>0</v>
      </c>
      <c r="F182" s="18" t="n">
        <v>0</v>
      </c>
      <c r="G182" s="13" t="n">
        <v>14.03</v>
      </c>
      <c r="H182" s="13" t="n">
        <v>70.3</v>
      </c>
      <c r="I182" s="13" t="n">
        <v>14.15</v>
      </c>
      <c r="J182" s="13" t="n">
        <v>0</v>
      </c>
      <c r="K182" s="13" t="n">
        <v>0</v>
      </c>
      <c r="L182" s="13" t="n">
        <v>473</v>
      </c>
      <c r="M182" s="13" t="n">
        <v>3</v>
      </c>
      <c r="N182" s="16" t="n">
        <f aca="false">H182*Parameters!$B$6/60</f>
        <v>1.81608333333333</v>
      </c>
      <c r="O182" s="18" t="n">
        <f aca="false">IF(G182=0,0,H182/G182)</f>
        <v>5.01069137562366</v>
      </c>
      <c r="P182" s="18" t="n">
        <f aca="false">IF(N182=0,0,Parameters!$B$8/N182)</f>
        <v>25.8798696829257</v>
      </c>
      <c r="Q182" s="28" t="n">
        <f aca="false">N182/Parameters!$B$8</f>
        <v>0.0386400709219858</v>
      </c>
    </row>
    <row r="183" customFormat="false" ht="15" hidden="false" customHeight="true" outlineLevel="0" collapsed="false">
      <c r="A183" s="13" t="s">
        <v>220</v>
      </c>
      <c r="B183" s="13" t="n">
        <v>3</v>
      </c>
      <c r="C183" s="13" t="n">
        <v>20</v>
      </c>
      <c r="D183" s="13" t="s">
        <v>135</v>
      </c>
      <c r="E183" s="13" t="n">
        <v>2</v>
      </c>
      <c r="F183" s="18" t="n">
        <v>0</v>
      </c>
      <c r="G183" s="13" t="n">
        <v>13.92</v>
      </c>
      <c r="H183" s="13" t="n">
        <v>69.7</v>
      </c>
      <c r="I183" s="13" t="n">
        <v>13.54</v>
      </c>
      <c r="J183" s="13" t="n">
        <v>13.12</v>
      </c>
      <c r="K183" s="13" t="n">
        <v>0</v>
      </c>
      <c r="L183" s="13" t="n">
        <v>470</v>
      </c>
      <c r="M183" s="13" t="n">
        <v>3</v>
      </c>
      <c r="N183" s="16" t="n">
        <f aca="false">H183*Parameters!$B$6/60</f>
        <v>1.80058333333333</v>
      </c>
      <c r="O183" s="18" t="n">
        <f aca="false">IF(G183=0,0,H183/G183)</f>
        <v>5.00718390804598</v>
      </c>
      <c r="P183" s="18" t="n">
        <f aca="false">IF(N183=0,0,Parameters!$B$8/N183)</f>
        <v>26.1026519183598</v>
      </c>
      <c r="Q183" s="28" t="n">
        <f aca="false">N183/Parameters!$B$8</f>
        <v>0.0383102836879433</v>
      </c>
    </row>
    <row r="184" customFormat="false" ht="15" hidden="false" customHeight="true" outlineLevel="0" collapsed="false">
      <c r="A184" s="13" t="s">
        <v>220</v>
      </c>
      <c r="B184" s="13" t="n">
        <v>3</v>
      </c>
      <c r="C184" s="13" t="n">
        <v>20</v>
      </c>
      <c r="D184" s="13" t="s">
        <v>135</v>
      </c>
      <c r="E184" s="13" t="n">
        <v>3</v>
      </c>
      <c r="F184" s="18" t="n">
        <v>8.8</v>
      </c>
      <c r="G184" s="13" t="n">
        <v>14.74</v>
      </c>
      <c r="H184" s="13" t="n">
        <v>73.8</v>
      </c>
      <c r="I184" s="13" t="n">
        <v>14.6</v>
      </c>
      <c r="J184" s="13" t="n">
        <v>26.28</v>
      </c>
      <c r="K184" s="13" t="n">
        <v>0</v>
      </c>
      <c r="L184" s="13" t="n">
        <v>460</v>
      </c>
      <c r="M184" s="13" t="n">
        <v>3</v>
      </c>
      <c r="N184" s="16" t="n">
        <f aca="false">H184*Parameters!$B$6/60</f>
        <v>1.9065</v>
      </c>
      <c r="O184" s="18" t="n">
        <f aca="false">IF(G184=0,0,H184/G184)</f>
        <v>5.0067842605156</v>
      </c>
      <c r="P184" s="18" t="n">
        <f aca="false">IF(N184=0,0,Parameters!$B$8/N184)</f>
        <v>24.652504589562</v>
      </c>
      <c r="Q184" s="28" t="n">
        <f aca="false">N184/Parameters!$B$8</f>
        <v>0.040563829787234</v>
      </c>
    </row>
    <row r="185" customFormat="false" ht="15" hidden="false" customHeight="true" outlineLevel="0" collapsed="false">
      <c r="A185" s="13" t="s">
        <v>220</v>
      </c>
      <c r="B185" s="13" t="n">
        <v>3</v>
      </c>
      <c r="C185" s="13" t="n">
        <v>20</v>
      </c>
      <c r="D185" s="13" t="s">
        <v>135</v>
      </c>
      <c r="E185" s="13" t="n">
        <v>4</v>
      </c>
      <c r="F185" s="18" t="n">
        <v>40.4</v>
      </c>
      <c r="G185" s="13" t="n">
        <v>15.13</v>
      </c>
      <c r="H185" s="13" t="n">
        <v>76.1</v>
      </c>
      <c r="I185" s="13" t="n">
        <v>17.05</v>
      </c>
      <c r="J185" s="13" t="n">
        <v>42.38</v>
      </c>
      <c r="K185" s="13" t="n">
        <v>0</v>
      </c>
      <c r="L185" s="13" t="n">
        <v>433</v>
      </c>
      <c r="M185" s="13" t="n">
        <v>3</v>
      </c>
      <c r="N185" s="16" t="n">
        <f aca="false">H185*Parameters!$B$6/60</f>
        <v>1.96591666666667</v>
      </c>
      <c r="O185" s="18" t="n">
        <f aca="false">IF(G185=0,0,H185/G185)</f>
        <v>5.02974223397224</v>
      </c>
      <c r="P185" s="18" t="n">
        <f aca="false">IF(N185=0,0,Parameters!$B$8/N185)</f>
        <v>23.907422322072</v>
      </c>
      <c r="Q185" s="28" t="n">
        <f aca="false">N185/Parameters!$B$8</f>
        <v>0.0418280141843972</v>
      </c>
    </row>
    <row r="186" customFormat="false" ht="15" hidden="false" customHeight="true" outlineLevel="0" collapsed="false">
      <c r="A186" s="13" t="s">
        <v>220</v>
      </c>
      <c r="B186" s="13" t="n">
        <v>3</v>
      </c>
      <c r="C186" s="13" t="n">
        <v>20</v>
      </c>
      <c r="D186" s="13" t="s">
        <v>136</v>
      </c>
      <c r="E186" s="13" t="n">
        <v>2</v>
      </c>
      <c r="F186" s="18" t="n">
        <v>89.2</v>
      </c>
      <c r="G186" s="13" t="n">
        <v>15.06</v>
      </c>
      <c r="H186" s="13" t="n">
        <v>77.3</v>
      </c>
      <c r="I186" s="13" t="n">
        <v>24.77</v>
      </c>
      <c r="J186" s="13" t="n">
        <v>0</v>
      </c>
      <c r="K186" s="13" t="n">
        <v>0</v>
      </c>
      <c r="L186" s="13" t="n">
        <v>320</v>
      </c>
      <c r="M186" s="13" t="n">
        <v>3</v>
      </c>
      <c r="N186" s="16" t="n">
        <f aca="false">H186*Parameters!$B$6/60</f>
        <v>1.99691666666667</v>
      </c>
      <c r="O186" s="18" t="n">
        <f aca="false">IF(G186=0,0,H186/G186)</f>
        <v>5.132802124834</v>
      </c>
      <c r="P186" s="18" t="n">
        <f aca="false">IF(N186=0,0,Parameters!$B$8/N186)</f>
        <v>23.5362851062054</v>
      </c>
      <c r="Q186" s="28" t="n">
        <f aca="false">N186/Parameters!$B$8</f>
        <v>0.0424875886524823</v>
      </c>
    </row>
    <row r="187" customFormat="false" ht="15" hidden="false" customHeight="true" outlineLevel="0" collapsed="false">
      <c r="A187" s="13" t="s">
        <v>220</v>
      </c>
      <c r="B187" s="13" t="n">
        <v>3</v>
      </c>
      <c r="C187" s="13" t="n">
        <v>20</v>
      </c>
      <c r="D187" s="13" t="s">
        <v>136</v>
      </c>
      <c r="E187" s="13" t="n">
        <v>3</v>
      </c>
      <c r="F187" s="18" t="n">
        <v>90.4</v>
      </c>
      <c r="G187" s="13" t="n">
        <v>14.61</v>
      </c>
      <c r="H187" s="13" t="n">
        <v>74.6</v>
      </c>
      <c r="I187" s="13" t="n">
        <v>25.32</v>
      </c>
      <c r="J187" s="13" t="n">
        <v>0</v>
      </c>
      <c r="K187" s="13" t="n">
        <v>0</v>
      </c>
      <c r="L187" s="13" t="n">
        <v>307</v>
      </c>
      <c r="M187" s="13" t="n">
        <v>3</v>
      </c>
      <c r="N187" s="16" t="n">
        <f aca="false">H187*Parameters!$B$6/60</f>
        <v>1.92716666666667</v>
      </c>
      <c r="O187" s="18" t="n">
        <f aca="false">IF(G187=0,0,H187/G187)</f>
        <v>5.10609171800137</v>
      </c>
      <c r="P187" s="18" t="n">
        <f aca="false">IF(N187=0,0,Parameters!$B$8/N187)</f>
        <v>24.3881345671539</v>
      </c>
      <c r="Q187" s="28" t="n">
        <f aca="false">N187/Parameters!$B$8</f>
        <v>0.0410035460992908</v>
      </c>
    </row>
    <row r="188" customFormat="false" ht="15" hidden="false" customHeight="true" outlineLevel="0" collapsed="false">
      <c r="A188" s="13" t="s">
        <v>220</v>
      </c>
      <c r="B188" s="13" t="n">
        <v>3</v>
      </c>
      <c r="C188" s="13" t="n">
        <v>20</v>
      </c>
      <c r="D188" s="13" t="s">
        <v>136</v>
      </c>
      <c r="E188" s="13" t="n">
        <v>4</v>
      </c>
      <c r="F188" s="18" t="n">
        <v>99.6</v>
      </c>
      <c r="G188" s="13" t="n">
        <v>13.43</v>
      </c>
      <c r="H188" s="13" t="n">
        <v>70.2</v>
      </c>
      <c r="I188" s="13" t="n">
        <v>25.87</v>
      </c>
      <c r="J188" s="13" t="n">
        <v>0</v>
      </c>
      <c r="K188" s="13" t="n">
        <v>0</v>
      </c>
      <c r="L188" s="13" t="n">
        <v>225</v>
      </c>
      <c r="M188" s="13" t="n">
        <v>3</v>
      </c>
      <c r="N188" s="16" t="n">
        <f aca="false">H188*Parameters!$B$6/60</f>
        <v>1.8135</v>
      </c>
      <c r="O188" s="18" t="n">
        <f aca="false">IF(G188=0,0,H188/G188)</f>
        <v>5.2271034996277</v>
      </c>
      <c r="P188" s="18" t="n">
        <f aca="false">IF(N188=0,0,Parameters!$B$8/N188)</f>
        <v>25.9167355941549</v>
      </c>
      <c r="Q188" s="28" t="n">
        <f aca="false">N188/Parameters!$B$8</f>
        <v>0.0385851063829787</v>
      </c>
    </row>
    <row r="189" customFormat="false" ht="15" hidden="false" customHeight="true" outlineLevel="0" collapsed="false">
      <c r="A189" s="13" t="s">
        <v>220</v>
      </c>
      <c r="B189" s="13" t="n">
        <v>3</v>
      </c>
      <c r="C189" s="13" t="n">
        <v>20</v>
      </c>
      <c r="D189" s="13" t="s">
        <v>137</v>
      </c>
      <c r="E189" s="13" t="n">
        <v>2</v>
      </c>
      <c r="F189" s="18" t="n">
        <v>19.2</v>
      </c>
      <c r="G189" s="13" t="n">
        <v>16.17</v>
      </c>
      <c r="H189" s="13" t="n">
        <v>83.8</v>
      </c>
      <c r="I189" s="13" t="n">
        <v>15.9</v>
      </c>
      <c r="J189" s="13" t="n">
        <v>0</v>
      </c>
      <c r="K189" s="13" t="n">
        <v>3</v>
      </c>
      <c r="L189" s="13" t="n">
        <v>445</v>
      </c>
      <c r="M189" s="13" t="n">
        <v>3</v>
      </c>
      <c r="N189" s="16" t="n">
        <f aca="false">H189*Parameters!$B$6/60</f>
        <v>2.16483333333333</v>
      </c>
      <c r="O189" s="18" t="n">
        <f aca="false">IF(G189=0,0,H189/G189)</f>
        <v>5.18243661100804</v>
      </c>
      <c r="P189" s="18" t="n">
        <f aca="false">IF(N189=0,0,Parameters!$B$8/N189)</f>
        <v>21.7106782662253</v>
      </c>
      <c r="Q189" s="28" t="n">
        <f aca="false">N189/Parameters!$B$8</f>
        <v>0.0460602836879433</v>
      </c>
    </row>
    <row r="190" customFormat="false" ht="15" hidden="false" customHeight="true" outlineLevel="0" collapsed="false">
      <c r="A190" s="13" t="s">
        <v>220</v>
      </c>
      <c r="B190" s="13" t="n">
        <v>3</v>
      </c>
      <c r="C190" s="13" t="n">
        <v>20</v>
      </c>
      <c r="D190" s="13" t="s">
        <v>137</v>
      </c>
      <c r="E190" s="13" t="n">
        <v>3</v>
      </c>
      <c r="F190" s="18" t="n">
        <v>42.4</v>
      </c>
      <c r="G190" s="13" t="n">
        <v>16.22</v>
      </c>
      <c r="H190" s="13" t="n">
        <v>84.8</v>
      </c>
      <c r="I190" s="13" t="n">
        <v>16.52</v>
      </c>
      <c r="J190" s="13" t="n">
        <v>0</v>
      </c>
      <c r="K190" s="13" t="n">
        <v>3</v>
      </c>
      <c r="L190" s="13" t="n">
        <v>422</v>
      </c>
      <c r="M190" s="13" t="n">
        <v>3</v>
      </c>
      <c r="N190" s="16" t="n">
        <f aca="false">H190*Parameters!$B$6/60</f>
        <v>2.19066666666667</v>
      </c>
      <c r="O190" s="18" t="n">
        <f aca="false">IF(G190=0,0,H190/G190)</f>
        <v>5.22811344019729</v>
      </c>
      <c r="P190" s="18" t="n">
        <f aca="false">IF(N190=0,0,Parameters!$B$8/N190)</f>
        <v>21.4546561168594</v>
      </c>
      <c r="Q190" s="28" t="n">
        <f aca="false">N190/Parameters!$B$8</f>
        <v>0.0466099290780142</v>
      </c>
    </row>
    <row r="191" customFormat="false" ht="15" hidden="false" customHeight="true" outlineLevel="0" collapsed="false">
      <c r="A191" s="13" t="s">
        <v>220</v>
      </c>
      <c r="B191" s="13" t="n">
        <v>3</v>
      </c>
      <c r="C191" s="13" t="n">
        <v>20</v>
      </c>
      <c r="D191" s="13" t="s">
        <v>137</v>
      </c>
      <c r="E191" s="13" t="n">
        <v>4</v>
      </c>
      <c r="F191" s="18" t="n">
        <v>72.8</v>
      </c>
      <c r="G191" s="13" t="n">
        <v>15.18</v>
      </c>
      <c r="H191" s="13" t="n">
        <v>80.9</v>
      </c>
      <c r="I191" s="13" t="n">
        <v>17.03</v>
      </c>
      <c r="J191" s="13" t="n">
        <v>0</v>
      </c>
      <c r="K191" s="13" t="n">
        <v>3</v>
      </c>
      <c r="L191" s="13" t="n">
        <v>378</v>
      </c>
      <c r="M191" s="13" t="n">
        <v>3</v>
      </c>
      <c r="N191" s="16" t="n">
        <f aca="false">H191*Parameters!$B$6/60</f>
        <v>2.08991666666667</v>
      </c>
      <c r="O191" s="18" t="n">
        <f aca="false">IF(G191=0,0,H191/G191)</f>
        <v>5.32938076416337</v>
      </c>
      <c r="P191" s="18" t="n">
        <f aca="false">IF(N191=0,0,Parameters!$B$8/N191)</f>
        <v>22.488934965509</v>
      </c>
      <c r="Q191" s="28" t="n">
        <f aca="false">N191/Parameters!$B$8</f>
        <v>0.0444663120567376</v>
      </c>
    </row>
    <row r="192" customFormat="false" ht="15" hidden="false" customHeight="true" outlineLevel="0" collapsed="false">
      <c r="A192" s="13" t="s">
        <v>220</v>
      </c>
      <c r="B192" s="13" t="n">
        <v>6</v>
      </c>
      <c r="C192" s="13" t="n">
        <v>6</v>
      </c>
      <c r="D192" s="13" t="s">
        <v>134</v>
      </c>
      <c r="E192" s="13" t="n">
        <v>0</v>
      </c>
      <c r="F192" s="18" t="n">
        <v>100</v>
      </c>
      <c r="G192" s="13" t="n">
        <v>5.96</v>
      </c>
      <c r="H192" s="13" t="n">
        <v>29.5</v>
      </c>
      <c r="I192" s="13" t="n">
        <v>5.89</v>
      </c>
      <c r="J192" s="13" t="n">
        <v>0</v>
      </c>
      <c r="K192" s="13" t="n">
        <v>0</v>
      </c>
      <c r="L192" s="13" t="n">
        <v>105</v>
      </c>
      <c r="M192" s="13" t="n">
        <v>6</v>
      </c>
      <c r="N192" s="16" t="n">
        <f aca="false">H192*Parameters!$B$6/60</f>
        <v>0.762083333333333</v>
      </c>
      <c r="O192" s="18" t="n">
        <f aca="false">IF(G192=0,0,H192/G192)</f>
        <v>4.9496644295302</v>
      </c>
      <c r="P192" s="18" t="n">
        <f aca="false">IF(N192=0,0,Parameters!$B$8/N192)</f>
        <v>61.6730453799891</v>
      </c>
      <c r="Q192" s="28" t="n">
        <f aca="false">N192/Parameters!$B$8</f>
        <v>0.0162145390070922</v>
      </c>
    </row>
    <row r="193" customFormat="false" ht="15" hidden="false" customHeight="true" outlineLevel="0" collapsed="false">
      <c r="A193" s="13" t="s">
        <v>220</v>
      </c>
      <c r="B193" s="13" t="n">
        <v>6</v>
      </c>
      <c r="C193" s="13" t="n">
        <v>6</v>
      </c>
      <c r="D193" s="13" t="s">
        <v>135</v>
      </c>
      <c r="E193" s="13" t="n">
        <v>2</v>
      </c>
      <c r="F193" s="18" t="n">
        <v>100</v>
      </c>
      <c r="G193" s="13" t="n">
        <v>5</v>
      </c>
      <c r="H193" s="13" t="n">
        <v>26</v>
      </c>
      <c r="I193" s="13" t="n">
        <v>6.62</v>
      </c>
      <c r="J193" s="13" t="n">
        <v>6.62</v>
      </c>
      <c r="K193" s="13" t="n">
        <v>0</v>
      </c>
      <c r="L193" s="13" t="n">
        <v>98</v>
      </c>
      <c r="M193" s="13" t="n">
        <v>6</v>
      </c>
      <c r="N193" s="16" t="n">
        <f aca="false">H193*Parameters!$B$6/60</f>
        <v>0.671666666666667</v>
      </c>
      <c r="O193" s="18" t="n">
        <f aca="false">IF(G193=0,0,H193/G193)</f>
        <v>5.2</v>
      </c>
      <c r="P193" s="18" t="n">
        <f aca="false">IF(N193=0,0,Parameters!$B$8/N193)</f>
        <v>69.9751861042184</v>
      </c>
      <c r="Q193" s="28" t="n">
        <f aca="false">N193/Parameters!$B$8</f>
        <v>0.014290780141844</v>
      </c>
    </row>
    <row r="194" customFormat="false" ht="15" hidden="false" customHeight="true" outlineLevel="0" collapsed="false">
      <c r="A194" s="13" t="s">
        <v>220</v>
      </c>
      <c r="B194" s="13" t="n">
        <v>6</v>
      </c>
      <c r="C194" s="13" t="n">
        <v>6</v>
      </c>
      <c r="D194" s="13" t="s">
        <v>135</v>
      </c>
      <c r="E194" s="13" t="n">
        <v>3</v>
      </c>
      <c r="F194" s="18" t="n">
        <v>100</v>
      </c>
      <c r="G194" s="13" t="n">
        <v>5</v>
      </c>
      <c r="H194" s="13" t="n">
        <v>25.4</v>
      </c>
      <c r="I194" s="13" t="n">
        <v>6.62</v>
      </c>
      <c r="J194" s="13" t="n">
        <v>13.24</v>
      </c>
      <c r="K194" s="13" t="n">
        <v>0</v>
      </c>
      <c r="L194" s="13" t="n">
        <v>98</v>
      </c>
      <c r="M194" s="13" t="n">
        <v>6</v>
      </c>
      <c r="N194" s="16" t="n">
        <f aca="false">H194*Parameters!$B$6/60</f>
        <v>0.656166666666667</v>
      </c>
      <c r="O194" s="18" t="n">
        <f aca="false">IF(G194=0,0,H194/G194)</f>
        <v>5.08</v>
      </c>
      <c r="P194" s="18" t="n">
        <f aca="false">IF(N194=0,0,Parameters!$B$8/N194)</f>
        <v>71.6281432562865</v>
      </c>
      <c r="Q194" s="28" t="n">
        <f aca="false">N194/Parameters!$B$8</f>
        <v>0.0139609929078014</v>
      </c>
    </row>
    <row r="195" customFormat="false" ht="15" hidden="false" customHeight="true" outlineLevel="0" collapsed="false">
      <c r="A195" s="13" t="s">
        <v>220</v>
      </c>
      <c r="B195" s="13" t="n">
        <v>6</v>
      </c>
      <c r="C195" s="13" t="n">
        <v>6</v>
      </c>
      <c r="D195" s="13" t="s">
        <v>135</v>
      </c>
      <c r="E195" s="13" t="n">
        <v>4</v>
      </c>
      <c r="F195" s="18" t="n">
        <v>100</v>
      </c>
      <c r="G195" s="13" t="n">
        <v>4.98</v>
      </c>
      <c r="H195" s="13" t="n">
        <v>24.5</v>
      </c>
      <c r="I195" s="13" t="n">
        <v>6.62</v>
      </c>
      <c r="J195" s="13" t="n">
        <v>19.86</v>
      </c>
      <c r="K195" s="13" t="n">
        <v>0</v>
      </c>
      <c r="L195" s="13" t="n">
        <v>98</v>
      </c>
      <c r="M195" s="13" t="n">
        <v>6</v>
      </c>
      <c r="N195" s="16" t="n">
        <f aca="false">H195*Parameters!$B$6/60</f>
        <v>0.632916666666667</v>
      </c>
      <c r="O195" s="18" t="n">
        <f aca="false">IF(G195=0,0,H195/G195)</f>
        <v>4.91967871485944</v>
      </c>
      <c r="P195" s="18" t="n">
        <f aca="false">IF(N195=0,0,Parameters!$B$8/N195)</f>
        <v>74.2593811718236</v>
      </c>
      <c r="Q195" s="28" t="n">
        <f aca="false">N195/Parameters!$B$8</f>
        <v>0.0134663120567376</v>
      </c>
    </row>
    <row r="196" customFormat="false" ht="15" hidden="false" customHeight="true" outlineLevel="0" collapsed="false">
      <c r="A196" s="13" t="s">
        <v>220</v>
      </c>
      <c r="B196" s="13" t="n">
        <v>6</v>
      </c>
      <c r="C196" s="13" t="n">
        <v>6</v>
      </c>
      <c r="D196" s="13" t="s">
        <v>136</v>
      </c>
      <c r="E196" s="13" t="n">
        <v>2</v>
      </c>
      <c r="F196" s="18" t="n">
        <v>100</v>
      </c>
      <c r="G196" s="13" t="n">
        <v>5</v>
      </c>
      <c r="H196" s="13" t="n">
        <v>25.8</v>
      </c>
      <c r="I196" s="13" t="n">
        <v>6.83</v>
      </c>
      <c r="J196" s="13" t="n">
        <v>0</v>
      </c>
      <c r="K196" s="13" t="n">
        <v>0</v>
      </c>
      <c r="L196" s="13" t="n">
        <v>94</v>
      </c>
      <c r="M196" s="13" t="n">
        <v>6</v>
      </c>
      <c r="N196" s="16" t="n">
        <f aca="false">H196*Parameters!$B$6/60</f>
        <v>0.6665</v>
      </c>
      <c r="O196" s="18" t="n">
        <f aca="false">IF(G196=0,0,H196/G196)</f>
        <v>5.16</v>
      </c>
      <c r="P196" s="18" t="n">
        <f aca="false">IF(N196=0,0,Parameters!$B$8/N196)</f>
        <v>70.5176294073518</v>
      </c>
      <c r="Q196" s="28" t="n">
        <f aca="false">N196/Parameters!$B$8</f>
        <v>0.0141808510638298</v>
      </c>
    </row>
    <row r="197" customFormat="false" ht="15" hidden="false" customHeight="true" outlineLevel="0" collapsed="false">
      <c r="A197" s="13" t="s">
        <v>220</v>
      </c>
      <c r="B197" s="13" t="n">
        <v>6</v>
      </c>
      <c r="C197" s="13" t="n">
        <v>6</v>
      </c>
      <c r="D197" s="13" t="s">
        <v>136</v>
      </c>
      <c r="E197" s="13" t="n">
        <v>3</v>
      </c>
      <c r="F197" s="18" t="n">
        <v>100</v>
      </c>
      <c r="G197" s="13" t="n">
        <v>5</v>
      </c>
      <c r="H197" s="13" t="n">
        <v>23.4</v>
      </c>
      <c r="I197" s="13" t="n">
        <v>6.97</v>
      </c>
      <c r="J197" s="13" t="n">
        <v>0</v>
      </c>
      <c r="K197" s="13" t="n">
        <v>0</v>
      </c>
      <c r="L197" s="13" t="n">
        <v>80</v>
      </c>
      <c r="M197" s="13" t="n">
        <v>6</v>
      </c>
      <c r="N197" s="16" t="n">
        <f aca="false">H197*Parameters!$B$6/60</f>
        <v>0.6045</v>
      </c>
      <c r="O197" s="18" t="n">
        <f aca="false">IF(G197=0,0,H197/G197)</f>
        <v>4.68</v>
      </c>
      <c r="P197" s="18" t="n">
        <f aca="false">IF(N197=0,0,Parameters!$B$8/N197)</f>
        <v>77.7502067824649</v>
      </c>
      <c r="Q197" s="28" t="n">
        <f aca="false">N197/Parameters!$B$8</f>
        <v>0.0128617021276596</v>
      </c>
    </row>
    <row r="198" customFormat="false" ht="15" hidden="false" customHeight="true" outlineLevel="0" collapsed="false">
      <c r="A198" s="13" t="s">
        <v>220</v>
      </c>
      <c r="B198" s="13" t="n">
        <v>6</v>
      </c>
      <c r="C198" s="13" t="n">
        <v>6</v>
      </c>
      <c r="D198" s="13" t="s">
        <v>136</v>
      </c>
      <c r="E198" s="13" t="n">
        <v>4</v>
      </c>
      <c r="F198" s="18" t="n">
        <v>100</v>
      </c>
      <c r="G198" s="13" t="n">
        <v>4.95</v>
      </c>
      <c r="H198" s="13" t="n">
        <v>22</v>
      </c>
      <c r="I198" s="13" t="n">
        <v>7</v>
      </c>
      <c r="J198" s="13" t="n">
        <v>0</v>
      </c>
      <c r="K198" s="13" t="n">
        <v>0</v>
      </c>
      <c r="L198" s="13" t="n">
        <v>69</v>
      </c>
      <c r="M198" s="13" t="n">
        <v>6</v>
      </c>
      <c r="N198" s="16" t="n">
        <f aca="false">H198*Parameters!$B$6/60</f>
        <v>0.568333333333333</v>
      </c>
      <c r="O198" s="18" t="n">
        <f aca="false">IF(G198=0,0,H198/G198)</f>
        <v>4.44444444444445</v>
      </c>
      <c r="P198" s="18" t="n">
        <f aca="false">IF(N198=0,0,Parameters!$B$8/N198)</f>
        <v>82.6979472140762</v>
      </c>
      <c r="Q198" s="28" t="n">
        <f aca="false">N198/Parameters!$B$8</f>
        <v>0.0120921985815603</v>
      </c>
    </row>
    <row r="199" customFormat="false" ht="15" hidden="false" customHeight="true" outlineLevel="0" collapsed="false">
      <c r="A199" s="13" t="s">
        <v>220</v>
      </c>
      <c r="B199" s="13" t="n">
        <v>6</v>
      </c>
      <c r="C199" s="13" t="n">
        <v>6</v>
      </c>
      <c r="D199" s="13" t="s">
        <v>137</v>
      </c>
      <c r="E199" s="13" t="n">
        <v>2</v>
      </c>
      <c r="F199" s="18" t="n">
        <v>100</v>
      </c>
      <c r="G199" s="13" t="n">
        <v>4</v>
      </c>
      <c r="H199" s="13" t="n">
        <v>20.3</v>
      </c>
      <c r="I199" s="13" t="n">
        <v>2.6</v>
      </c>
      <c r="J199" s="13" t="n">
        <v>0</v>
      </c>
      <c r="K199" s="13" t="n">
        <v>3</v>
      </c>
      <c r="L199" s="13" t="n">
        <v>64</v>
      </c>
      <c r="M199" s="13" t="n">
        <v>6</v>
      </c>
      <c r="N199" s="16" t="n">
        <f aca="false">H199*Parameters!$B$6/60</f>
        <v>0.524416666666667</v>
      </c>
      <c r="O199" s="18" t="n">
        <f aca="false">IF(G199=0,0,H199/G199)</f>
        <v>5.075</v>
      </c>
      <c r="P199" s="18" t="n">
        <f aca="false">IF(N199=0,0,Parameters!$B$8/N199)</f>
        <v>89.6233910694422</v>
      </c>
      <c r="Q199" s="28" t="n">
        <f aca="false">N199/Parameters!$B$8</f>
        <v>0.0111578014184397</v>
      </c>
    </row>
    <row r="200" customFormat="false" ht="15" hidden="false" customHeight="true" outlineLevel="0" collapsed="false">
      <c r="A200" s="13" t="s">
        <v>220</v>
      </c>
      <c r="B200" s="13" t="n">
        <v>6</v>
      </c>
      <c r="C200" s="13" t="n">
        <v>6</v>
      </c>
      <c r="D200" s="13" t="s">
        <v>137</v>
      </c>
      <c r="E200" s="13" t="n">
        <v>3</v>
      </c>
      <c r="F200" s="18" t="n">
        <v>100</v>
      </c>
      <c r="G200" s="13" t="n">
        <v>3</v>
      </c>
      <c r="H200" s="13" t="n">
        <v>16.5</v>
      </c>
      <c r="I200" s="13" t="n">
        <v>1</v>
      </c>
      <c r="J200" s="13" t="n">
        <v>0</v>
      </c>
      <c r="K200" s="13" t="n">
        <v>3</v>
      </c>
      <c r="L200" s="13" t="n">
        <v>59</v>
      </c>
      <c r="M200" s="13" t="n">
        <v>6</v>
      </c>
      <c r="N200" s="16" t="n">
        <f aca="false">H200*Parameters!$B$6/60</f>
        <v>0.42625</v>
      </c>
      <c r="O200" s="18" t="n">
        <f aca="false">IF(G200=0,0,H200/G200)</f>
        <v>5.5</v>
      </c>
      <c r="P200" s="18" t="n">
        <f aca="false">IF(N200=0,0,Parameters!$B$8/N200)</f>
        <v>110.263929618768</v>
      </c>
      <c r="Q200" s="28" t="n">
        <f aca="false">N200/Parameters!$B$8</f>
        <v>0.00906914893617021</v>
      </c>
    </row>
    <row r="201" customFormat="false" ht="15" hidden="false" customHeight="true" outlineLevel="0" collapsed="false">
      <c r="A201" s="13" t="s">
        <v>220</v>
      </c>
      <c r="B201" s="13" t="n">
        <v>6</v>
      </c>
      <c r="C201" s="13" t="n">
        <v>6</v>
      </c>
      <c r="D201" s="13" t="s">
        <v>137</v>
      </c>
      <c r="E201" s="13" t="n">
        <v>4</v>
      </c>
      <c r="F201" s="18" t="n">
        <v>100</v>
      </c>
      <c r="G201" s="13" t="n">
        <v>3</v>
      </c>
      <c r="H201" s="13" t="n">
        <v>14.5</v>
      </c>
      <c r="I201" s="13" t="n">
        <v>2</v>
      </c>
      <c r="J201" s="13" t="n">
        <v>0</v>
      </c>
      <c r="K201" s="13" t="n">
        <v>2</v>
      </c>
      <c r="L201" s="13" t="n">
        <v>59</v>
      </c>
      <c r="M201" s="13" t="n">
        <v>6</v>
      </c>
      <c r="N201" s="16" t="n">
        <f aca="false">H201*Parameters!$B$6/60</f>
        <v>0.374583333333333</v>
      </c>
      <c r="O201" s="18" t="n">
        <f aca="false">IF(G201=0,0,H201/G201)</f>
        <v>4.83333333333333</v>
      </c>
      <c r="P201" s="18" t="n">
        <f aca="false">IF(N201=0,0,Parameters!$B$8/N201)</f>
        <v>125.472747497219</v>
      </c>
      <c r="Q201" s="28" t="n">
        <f aca="false">N201/Parameters!$B$8</f>
        <v>0.00796985815602837</v>
      </c>
    </row>
    <row r="202" customFormat="false" ht="15" hidden="false" customHeight="true" outlineLevel="0" collapsed="false">
      <c r="A202" s="13" t="s">
        <v>220</v>
      </c>
      <c r="B202" s="13" t="n">
        <v>6</v>
      </c>
      <c r="C202" s="13" t="n">
        <v>12</v>
      </c>
      <c r="D202" s="13" t="s">
        <v>134</v>
      </c>
      <c r="E202" s="13" t="n">
        <v>0</v>
      </c>
      <c r="F202" s="18" t="n">
        <v>89.2</v>
      </c>
      <c r="G202" s="13" t="n">
        <v>12.24</v>
      </c>
      <c r="H202" s="13" t="n">
        <v>64.9</v>
      </c>
      <c r="I202" s="13" t="n">
        <v>13.14</v>
      </c>
      <c r="J202" s="13" t="n">
        <v>0</v>
      </c>
      <c r="K202" s="13" t="n">
        <v>0</v>
      </c>
      <c r="L202" s="13" t="n">
        <v>360</v>
      </c>
      <c r="M202" s="13" t="n">
        <v>6</v>
      </c>
      <c r="N202" s="16" t="n">
        <f aca="false">H202*Parameters!$B$6/60</f>
        <v>1.67658333333333</v>
      </c>
      <c r="O202" s="18" t="n">
        <f aca="false">IF(G202=0,0,H202/G202)</f>
        <v>5.30228758169935</v>
      </c>
      <c r="P202" s="18" t="n">
        <f aca="false">IF(N202=0,0,Parameters!$B$8/N202)</f>
        <v>28.0332024454496</v>
      </c>
      <c r="Q202" s="28" t="n">
        <f aca="false">N202/Parameters!$B$8</f>
        <v>0.0356719858156028</v>
      </c>
    </row>
    <row r="203" customFormat="false" ht="15" hidden="false" customHeight="true" outlineLevel="0" collapsed="false">
      <c r="A203" s="13" t="s">
        <v>220</v>
      </c>
      <c r="B203" s="13" t="n">
        <v>6</v>
      </c>
      <c r="C203" s="13" t="n">
        <v>12</v>
      </c>
      <c r="D203" s="13" t="s">
        <v>135</v>
      </c>
      <c r="E203" s="13" t="n">
        <v>2</v>
      </c>
      <c r="F203" s="18" t="n">
        <v>94.4</v>
      </c>
      <c r="G203" s="13" t="n">
        <v>10.57</v>
      </c>
      <c r="H203" s="13" t="n">
        <v>57.8</v>
      </c>
      <c r="I203" s="13" t="n">
        <v>12.4</v>
      </c>
      <c r="J203" s="13" t="n">
        <v>12.36</v>
      </c>
      <c r="K203" s="13" t="n">
        <v>0</v>
      </c>
      <c r="L203" s="13" t="n">
        <v>333</v>
      </c>
      <c r="M203" s="13" t="n">
        <v>6</v>
      </c>
      <c r="N203" s="16" t="n">
        <f aca="false">H203*Parameters!$B$6/60</f>
        <v>1.49316666666667</v>
      </c>
      <c r="O203" s="18" t="n">
        <f aca="false">IF(G203=0,0,H203/G203)</f>
        <v>5.46830652790918</v>
      </c>
      <c r="P203" s="18" t="n">
        <f aca="false">IF(N203=0,0,Parameters!$B$8/N203)</f>
        <v>31.4767273133162</v>
      </c>
      <c r="Q203" s="28" t="n">
        <f aca="false">N203/Parameters!$B$8</f>
        <v>0.0317695035460993</v>
      </c>
    </row>
    <row r="204" customFormat="false" ht="15" hidden="false" customHeight="true" outlineLevel="0" collapsed="false">
      <c r="A204" s="13" t="s">
        <v>220</v>
      </c>
      <c r="B204" s="13" t="n">
        <v>6</v>
      </c>
      <c r="C204" s="13" t="n">
        <v>12</v>
      </c>
      <c r="D204" s="13" t="s">
        <v>135</v>
      </c>
      <c r="E204" s="13" t="n">
        <v>3</v>
      </c>
      <c r="F204" s="18" t="n">
        <v>95.6</v>
      </c>
      <c r="G204" s="13" t="n">
        <v>9.72</v>
      </c>
      <c r="H204" s="13" t="n">
        <v>54.6</v>
      </c>
      <c r="I204" s="13" t="n">
        <v>12.29</v>
      </c>
      <c r="J204" s="13" t="n">
        <v>24.31</v>
      </c>
      <c r="K204" s="13" t="n">
        <v>0</v>
      </c>
      <c r="L204" s="13" t="n">
        <v>321</v>
      </c>
      <c r="M204" s="13" t="n">
        <v>6</v>
      </c>
      <c r="N204" s="16" t="n">
        <f aca="false">H204*Parameters!$B$6/60</f>
        <v>1.4105</v>
      </c>
      <c r="O204" s="18" t="n">
        <f aca="false">IF(G204=0,0,H204/G204)</f>
        <v>5.61728395061728</v>
      </c>
      <c r="P204" s="18" t="n">
        <f aca="false">IF(N204=0,0,Parameters!$B$8/N204)</f>
        <v>33.3215171924849</v>
      </c>
      <c r="Q204" s="28" t="n">
        <f aca="false">N204/Parameters!$B$8</f>
        <v>0.0300106382978723</v>
      </c>
    </row>
    <row r="205" customFormat="false" ht="15" hidden="false" customHeight="true" outlineLevel="0" collapsed="false">
      <c r="A205" s="13" t="s">
        <v>220</v>
      </c>
      <c r="B205" s="13" t="n">
        <v>6</v>
      </c>
      <c r="C205" s="13" t="n">
        <v>12</v>
      </c>
      <c r="D205" s="13" t="s">
        <v>135</v>
      </c>
      <c r="E205" s="13" t="n">
        <v>4</v>
      </c>
      <c r="F205" s="18" t="n">
        <v>95.6</v>
      </c>
      <c r="G205" s="13" t="n">
        <v>9.44</v>
      </c>
      <c r="H205" s="13" t="n">
        <v>53.2</v>
      </c>
      <c r="I205" s="13" t="n">
        <v>12.12</v>
      </c>
      <c r="J205" s="13" t="n">
        <v>34.11</v>
      </c>
      <c r="K205" s="13" t="n">
        <v>0</v>
      </c>
      <c r="L205" s="13" t="n">
        <v>315</v>
      </c>
      <c r="M205" s="13" t="n">
        <v>6</v>
      </c>
      <c r="N205" s="16" t="n">
        <f aca="false">H205*Parameters!$B$6/60</f>
        <v>1.37433333333333</v>
      </c>
      <c r="O205" s="18" t="n">
        <f aca="false">IF(G205=0,0,H205/G205)</f>
        <v>5.63559322033898</v>
      </c>
      <c r="P205" s="18" t="n">
        <f aca="false">IF(N205=0,0,Parameters!$B$8/N205)</f>
        <v>34.1983992238661</v>
      </c>
      <c r="Q205" s="28" t="n">
        <f aca="false">N205/Parameters!$B$8</f>
        <v>0.0292411347517731</v>
      </c>
    </row>
    <row r="206" customFormat="false" ht="15" hidden="false" customHeight="true" outlineLevel="0" collapsed="false">
      <c r="A206" s="13" t="s">
        <v>220</v>
      </c>
      <c r="B206" s="13" t="n">
        <v>6</v>
      </c>
      <c r="C206" s="13" t="n">
        <v>12</v>
      </c>
      <c r="D206" s="13" t="s">
        <v>136</v>
      </c>
      <c r="E206" s="13" t="n">
        <v>2</v>
      </c>
      <c r="F206" s="18" t="n">
        <v>100</v>
      </c>
      <c r="G206" s="13" t="n">
        <v>9.24</v>
      </c>
      <c r="H206" s="13" t="n">
        <v>50.4</v>
      </c>
      <c r="I206" s="13" t="n">
        <v>15.04</v>
      </c>
      <c r="J206" s="13" t="n">
        <v>0</v>
      </c>
      <c r="K206" s="13" t="n">
        <v>0</v>
      </c>
      <c r="L206" s="13" t="n">
        <v>226</v>
      </c>
      <c r="M206" s="13" t="n">
        <v>6</v>
      </c>
      <c r="N206" s="16" t="n">
        <f aca="false">H206*Parameters!$B$6/60</f>
        <v>1.302</v>
      </c>
      <c r="O206" s="18" t="n">
        <f aca="false">IF(G206=0,0,H206/G206)</f>
        <v>5.45454545454545</v>
      </c>
      <c r="P206" s="18" t="n">
        <f aca="false">IF(N206=0,0,Parameters!$B$8/N206)</f>
        <v>36.0983102918587</v>
      </c>
      <c r="Q206" s="28" t="n">
        <f aca="false">N206/Parameters!$B$8</f>
        <v>0.0277021276595745</v>
      </c>
    </row>
    <row r="207" customFormat="false" ht="15" hidden="false" customHeight="true" outlineLevel="0" collapsed="false">
      <c r="A207" s="13" t="s">
        <v>220</v>
      </c>
      <c r="B207" s="13" t="n">
        <v>6</v>
      </c>
      <c r="C207" s="13" t="n">
        <v>12</v>
      </c>
      <c r="D207" s="13" t="s">
        <v>136</v>
      </c>
      <c r="E207" s="13" t="n">
        <v>3</v>
      </c>
      <c r="F207" s="18" t="n">
        <v>100</v>
      </c>
      <c r="G207" s="13" t="n">
        <v>8.9</v>
      </c>
      <c r="H207" s="13" t="n">
        <v>48.7</v>
      </c>
      <c r="I207" s="13" t="n">
        <v>15.67</v>
      </c>
      <c r="J207" s="13" t="n">
        <v>0</v>
      </c>
      <c r="K207" s="13" t="n">
        <v>0</v>
      </c>
      <c r="L207" s="13" t="n">
        <v>201</v>
      </c>
      <c r="M207" s="13" t="n">
        <v>6</v>
      </c>
      <c r="N207" s="16" t="n">
        <f aca="false">H207*Parameters!$B$6/60</f>
        <v>1.25808333333333</v>
      </c>
      <c r="O207" s="18" t="n">
        <f aca="false">IF(G207=0,0,H207/G207)</f>
        <v>5.47191011235955</v>
      </c>
      <c r="P207" s="18" t="n">
        <f aca="false">IF(N207=0,0,Parameters!$B$8/N207)</f>
        <v>37.3584155792542</v>
      </c>
      <c r="Q207" s="28" t="n">
        <f aca="false">N207/Parameters!$B$8</f>
        <v>0.0267677304964539</v>
      </c>
    </row>
    <row r="208" customFormat="false" ht="15" hidden="false" customHeight="true" outlineLevel="0" collapsed="false">
      <c r="A208" s="13" t="s">
        <v>220</v>
      </c>
      <c r="B208" s="13" t="n">
        <v>6</v>
      </c>
      <c r="C208" s="13" t="n">
        <v>12</v>
      </c>
      <c r="D208" s="13" t="s">
        <v>136</v>
      </c>
      <c r="E208" s="13" t="n">
        <v>4</v>
      </c>
      <c r="F208" s="18" t="n">
        <v>100</v>
      </c>
      <c r="G208" s="13" t="n">
        <v>8.31</v>
      </c>
      <c r="H208" s="13" t="n">
        <v>46.7</v>
      </c>
      <c r="I208" s="13" t="n">
        <v>16.18</v>
      </c>
      <c r="J208" s="13" t="n">
        <v>0</v>
      </c>
      <c r="K208" s="13" t="n">
        <v>0</v>
      </c>
      <c r="L208" s="13" t="n">
        <v>175</v>
      </c>
      <c r="M208" s="13" t="n">
        <v>6</v>
      </c>
      <c r="N208" s="16" t="n">
        <f aca="false">H208*Parameters!$B$6/60</f>
        <v>1.20641666666667</v>
      </c>
      <c r="O208" s="18" t="n">
        <f aca="false">IF(G208=0,0,H208/G208)</f>
        <v>5.61973525872443</v>
      </c>
      <c r="P208" s="18" t="n">
        <f aca="false">IF(N208=0,0,Parameters!$B$8/N208)</f>
        <v>38.958347723976</v>
      </c>
      <c r="Q208" s="28" t="n">
        <f aca="false">N208/Parameters!$B$8</f>
        <v>0.0256684397163121</v>
      </c>
    </row>
    <row r="209" customFormat="false" ht="15" hidden="false" customHeight="true" outlineLevel="0" collapsed="false">
      <c r="A209" s="13" t="s">
        <v>220</v>
      </c>
      <c r="B209" s="13" t="n">
        <v>6</v>
      </c>
      <c r="C209" s="13" t="n">
        <v>12</v>
      </c>
      <c r="D209" s="13" t="s">
        <v>137</v>
      </c>
      <c r="E209" s="13" t="n">
        <v>2</v>
      </c>
      <c r="F209" s="18" t="n">
        <v>100</v>
      </c>
      <c r="G209" s="13" t="n">
        <v>6.71</v>
      </c>
      <c r="H209" s="13" t="n">
        <v>39.9</v>
      </c>
      <c r="I209" s="13" t="n">
        <v>5.09</v>
      </c>
      <c r="J209" s="13" t="n">
        <v>0</v>
      </c>
      <c r="K209" s="13" t="n">
        <v>3</v>
      </c>
      <c r="L209" s="13" t="n">
        <v>214</v>
      </c>
      <c r="M209" s="13" t="n">
        <v>6</v>
      </c>
      <c r="N209" s="16" t="n">
        <f aca="false">H209*Parameters!$B$6/60</f>
        <v>1.03075</v>
      </c>
      <c r="O209" s="18" t="n">
        <f aca="false">IF(G209=0,0,H209/G209)</f>
        <v>5.94634873323398</v>
      </c>
      <c r="P209" s="18" t="n">
        <f aca="false">IF(N209=0,0,Parameters!$B$8/N209)</f>
        <v>45.5978656318215</v>
      </c>
      <c r="Q209" s="28" t="n">
        <f aca="false">N209/Parameters!$B$8</f>
        <v>0.0219308510638298</v>
      </c>
    </row>
    <row r="210" customFormat="false" ht="15" hidden="false" customHeight="true" outlineLevel="0" collapsed="false">
      <c r="A210" s="13" t="s">
        <v>220</v>
      </c>
      <c r="B210" s="13" t="n">
        <v>6</v>
      </c>
      <c r="C210" s="13" t="n">
        <v>12</v>
      </c>
      <c r="D210" s="13" t="s">
        <v>137</v>
      </c>
      <c r="E210" s="13" t="n">
        <v>3</v>
      </c>
      <c r="F210" s="18" t="n">
        <v>100</v>
      </c>
      <c r="G210" s="13" t="n">
        <v>5</v>
      </c>
      <c r="H210" s="13" t="n">
        <v>28.1</v>
      </c>
      <c r="I210" s="13" t="n">
        <v>4</v>
      </c>
      <c r="J210" s="13" t="n">
        <v>0</v>
      </c>
      <c r="K210" s="13" t="n">
        <v>3</v>
      </c>
      <c r="L210" s="13" t="n">
        <v>144</v>
      </c>
      <c r="M210" s="13" t="n">
        <v>6</v>
      </c>
      <c r="N210" s="16" t="n">
        <f aca="false">H210*Parameters!$B$6/60</f>
        <v>0.725916666666667</v>
      </c>
      <c r="O210" s="18" t="n">
        <f aca="false">IF(G210=0,0,H210/G210)</f>
        <v>5.62</v>
      </c>
      <c r="P210" s="18" t="n">
        <f aca="false">IF(N210=0,0,Parameters!$B$8/N210)</f>
        <v>64.7457237974974</v>
      </c>
      <c r="Q210" s="28" t="n">
        <f aca="false">N210/Parameters!$B$8</f>
        <v>0.0154450354609929</v>
      </c>
    </row>
    <row r="211" customFormat="false" ht="15" hidden="false" customHeight="true" outlineLevel="0" collapsed="false">
      <c r="A211" s="13" t="s">
        <v>220</v>
      </c>
      <c r="B211" s="13" t="n">
        <v>6</v>
      </c>
      <c r="C211" s="13" t="n">
        <v>12</v>
      </c>
      <c r="D211" s="13" t="s">
        <v>137</v>
      </c>
      <c r="E211" s="13" t="n">
        <v>4</v>
      </c>
      <c r="F211" s="18" t="n">
        <v>100</v>
      </c>
      <c r="G211" s="13" t="n">
        <v>5</v>
      </c>
      <c r="H211" s="13" t="n">
        <v>29.1</v>
      </c>
      <c r="I211" s="13" t="n">
        <v>4</v>
      </c>
      <c r="J211" s="13" t="n">
        <v>0</v>
      </c>
      <c r="K211" s="13" t="n">
        <v>3</v>
      </c>
      <c r="L211" s="13" t="n">
        <v>162</v>
      </c>
      <c r="M211" s="13" t="n">
        <v>6</v>
      </c>
      <c r="N211" s="16" t="n">
        <f aca="false">H211*Parameters!$B$6/60</f>
        <v>0.75175</v>
      </c>
      <c r="O211" s="18" t="n">
        <f aca="false">IF(G211=0,0,H211/G211)</f>
        <v>5.82</v>
      </c>
      <c r="P211" s="18" t="n">
        <f aca="false">IF(N211=0,0,Parameters!$B$8/N211)</f>
        <v>62.5207848353841</v>
      </c>
      <c r="Q211" s="28" t="n">
        <f aca="false">N211/Parameters!$B$8</f>
        <v>0.0159946808510638</v>
      </c>
    </row>
    <row r="212" customFormat="false" ht="15" hidden="false" customHeight="true" outlineLevel="0" collapsed="false">
      <c r="A212" s="13" t="s">
        <v>220</v>
      </c>
      <c r="B212" s="13" t="n">
        <v>6</v>
      </c>
      <c r="C212" s="13" t="n">
        <v>20</v>
      </c>
      <c r="D212" s="13" t="s">
        <v>134</v>
      </c>
      <c r="E212" s="13" t="n">
        <v>0</v>
      </c>
      <c r="F212" s="18" t="n">
        <v>0</v>
      </c>
      <c r="G212" s="13" t="n">
        <v>7.71</v>
      </c>
      <c r="H212" s="13" t="n">
        <v>55.5</v>
      </c>
      <c r="I212" s="13" t="n">
        <v>10.84</v>
      </c>
      <c r="J212" s="13" t="n">
        <v>0</v>
      </c>
      <c r="K212" s="13" t="n">
        <v>0</v>
      </c>
      <c r="L212" s="13" t="n">
        <v>474</v>
      </c>
      <c r="M212" s="13" t="n">
        <v>6</v>
      </c>
      <c r="N212" s="16" t="n">
        <f aca="false">H212*Parameters!$B$6/60</f>
        <v>1.43375</v>
      </c>
      <c r="O212" s="18" t="n">
        <f aca="false">IF(G212=0,0,H212/G212)</f>
        <v>7.19844357976654</v>
      </c>
      <c r="P212" s="18" t="n">
        <f aca="false">IF(N212=0,0,Parameters!$B$8/N212)</f>
        <v>32.7811682650392</v>
      </c>
      <c r="Q212" s="28" t="n">
        <f aca="false">N212/Parameters!$B$8</f>
        <v>0.0305053191489362</v>
      </c>
    </row>
    <row r="213" customFormat="false" ht="15" hidden="false" customHeight="true" outlineLevel="0" collapsed="false">
      <c r="A213" s="13" t="s">
        <v>220</v>
      </c>
      <c r="B213" s="13" t="n">
        <v>6</v>
      </c>
      <c r="C213" s="13" t="n">
        <v>20</v>
      </c>
      <c r="D213" s="13" t="s">
        <v>135</v>
      </c>
      <c r="E213" s="13" t="n">
        <v>2</v>
      </c>
      <c r="F213" s="18" t="n">
        <v>0</v>
      </c>
      <c r="G213" s="13" t="n">
        <v>7.69</v>
      </c>
      <c r="H213" s="13" t="n">
        <v>55.6</v>
      </c>
      <c r="I213" s="13" t="n">
        <v>11.69</v>
      </c>
      <c r="J213" s="13" t="n">
        <v>11.5</v>
      </c>
      <c r="K213" s="13" t="n">
        <v>0</v>
      </c>
      <c r="L213" s="13" t="n">
        <v>474</v>
      </c>
      <c r="M213" s="13" t="n">
        <v>6</v>
      </c>
      <c r="N213" s="16" t="n">
        <f aca="false">H213*Parameters!$B$6/60</f>
        <v>1.43633333333333</v>
      </c>
      <c r="O213" s="18" t="n">
        <f aca="false">IF(G213=0,0,H213/G213)</f>
        <v>7.23016905071521</v>
      </c>
      <c r="P213" s="18" t="n">
        <f aca="false">IF(N213=0,0,Parameters!$B$8/N213)</f>
        <v>32.7222093293107</v>
      </c>
      <c r="Q213" s="28" t="n">
        <f aca="false">N213/Parameters!$B$8</f>
        <v>0.0305602836879433</v>
      </c>
    </row>
    <row r="214" customFormat="false" ht="15" hidden="false" customHeight="true" outlineLevel="0" collapsed="false">
      <c r="A214" s="13" t="s">
        <v>220</v>
      </c>
      <c r="B214" s="13" t="n">
        <v>6</v>
      </c>
      <c r="C214" s="13" t="n">
        <v>20</v>
      </c>
      <c r="D214" s="13" t="s">
        <v>135</v>
      </c>
      <c r="E214" s="13" t="n">
        <v>3</v>
      </c>
      <c r="F214" s="18" t="n">
        <v>0</v>
      </c>
      <c r="G214" s="13" t="n">
        <v>7.69</v>
      </c>
      <c r="H214" s="13" t="n">
        <v>55.7</v>
      </c>
      <c r="I214" s="13" t="n">
        <v>11.42</v>
      </c>
      <c r="J214" s="13" t="n">
        <v>21.13</v>
      </c>
      <c r="K214" s="13" t="n">
        <v>0</v>
      </c>
      <c r="L214" s="13" t="n">
        <v>474</v>
      </c>
      <c r="M214" s="13" t="n">
        <v>6</v>
      </c>
      <c r="N214" s="16" t="n">
        <f aca="false">H214*Parameters!$B$6/60</f>
        <v>1.43891666666667</v>
      </c>
      <c r="O214" s="18" t="n">
        <f aca="false">IF(G214=0,0,H214/G214)</f>
        <v>7.24317295188557</v>
      </c>
      <c r="P214" s="18" t="n">
        <f aca="false">IF(N214=0,0,Parameters!$B$8/N214)</f>
        <v>32.6634620953263</v>
      </c>
      <c r="Q214" s="28" t="n">
        <f aca="false">N214/Parameters!$B$8</f>
        <v>0.0306152482269504</v>
      </c>
    </row>
    <row r="215" customFormat="false" ht="15" hidden="false" customHeight="true" outlineLevel="0" collapsed="false">
      <c r="A215" s="13" t="s">
        <v>220</v>
      </c>
      <c r="B215" s="13" t="n">
        <v>6</v>
      </c>
      <c r="C215" s="13" t="n">
        <v>20</v>
      </c>
      <c r="D215" s="13" t="s">
        <v>135</v>
      </c>
      <c r="E215" s="13" t="n">
        <v>4</v>
      </c>
      <c r="F215" s="18" t="n">
        <v>0</v>
      </c>
      <c r="G215" s="13" t="n">
        <v>7.69</v>
      </c>
      <c r="H215" s="13" t="n">
        <v>55.7</v>
      </c>
      <c r="I215" s="13" t="n">
        <v>11.39</v>
      </c>
      <c r="J215" s="13" t="n">
        <v>27.69</v>
      </c>
      <c r="K215" s="13" t="n">
        <v>0</v>
      </c>
      <c r="L215" s="13" t="n">
        <v>474</v>
      </c>
      <c r="M215" s="13" t="n">
        <v>6</v>
      </c>
      <c r="N215" s="16" t="n">
        <f aca="false">H215*Parameters!$B$6/60</f>
        <v>1.43891666666667</v>
      </c>
      <c r="O215" s="18" t="n">
        <f aca="false">IF(G215=0,0,H215/G215)</f>
        <v>7.24317295188557</v>
      </c>
      <c r="P215" s="18" t="n">
        <f aca="false">IF(N215=0,0,Parameters!$B$8/N215)</f>
        <v>32.6634620953263</v>
      </c>
      <c r="Q215" s="28" t="n">
        <f aca="false">N215/Parameters!$B$8</f>
        <v>0.0306152482269504</v>
      </c>
    </row>
    <row r="216" customFormat="false" ht="15" hidden="false" customHeight="true" outlineLevel="0" collapsed="false">
      <c r="A216" s="13" t="s">
        <v>220</v>
      </c>
      <c r="B216" s="13" t="n">
        <v>6</v>
      </c>
      <c r="C216" s="13" t="n">
        <v>20</v>
      </c>
      <c r="D216" s="13" t="s">
        <v>136</v>
      </c>
      <c r="E216" s="13" t="n">
        <v>2</v>
      </c>
      <c r="F216" s="18" t="n">
        <v>0.8</v>
      </c>
      <c r="G216" s="13" t="n">
        <v>11</v>
      </c>
      <c r="H216" s="13" t="n">
        <v>68.3</v>
      </c>
      <c r="I216" s="13" t="n">
        <v>23.86</v>
      </c>
      <c r="J216" s="13" t="n">
        <v>0</v>
      </c>
      <c r="K216" s="13" t="n">
        <v>0</v>
      </c>
      <c r="L216" s="13" t="n">
        <v>479</v>
      </c>
      <c r="M216" s="13" t="n">
        <v>6</v>
      </c>
      <c r="N216" s="16" t="n">
        <f aca="false">H216*Parameters!$B$6/60</f>
        <v>1.76441666666667</v>
      </c>
      <c r="O216" s="18" t="n">
        <f aca="false">IF(G216=0,0,H216/G216)</f>
        <v>6.20909090909091</v>
      </c>
      <c r="P216" s="18" t="n">
        <f aca="false">IF(N216=0,0,Parameters!$B$8/N216)</f>
        <v>26.6376989562178</v>
      </c>
      <c r="Q216" s="28" t="n">
        <f aca="false">N216/Parameters!$B$8</f>
        <v>0.037540780141844</v>
      </c>
    </row>
    <row r="217" customFormat="false" ht="15" hidden="false" customHeight="true" outlineLevel="0" collapsed="false">
      <c r="A217" s="13" t="s">
        <v>220</v>
      </c>
      <c r="B217" s="13" t="n">
        <v>6</v>
      </c>
      <c r="C217" s="13" t="n">
        <v>20</v>
      </c>
      <c r="D217" s="13" t="s">
        <v>136</v>
      </c>
      <c r="E217" s="13" t="n">
        <v>3</v>
      </c>
      <c r="F217" s="18" t="n">
        <v>19.2</v>
      </c>
      <c r="G217" s="13" t="n">
        <v>12.28</v>
      </c>
      <c r="H217" s="13" t="n">
        <v>69.7</v>
      </c>
      <c r="I217" s="13" t="n">
        <v>25.18</v>
      </c>
      <c r="J217" s="13" t="n">
        <v>0</v>
      </c>
      <c r="K217" s="13" t="n">
        <v>0</v>
      </c>
      <c r="L217" s="13" t="n">
        <v>465</v>
      </c>
      <c r="M217" s="13" t="n">
        <v>6</v>
      </c>
      <c r="N217" s="16" t="n">
        <f aca="false">H217*Parameters!$B$6/60</f>
        <v>1.80058333333333</v>
      </c>
      <c r="O217" s="18" t="n">
        <f aca="false">IF(G217=0,0,H217/G217)</f>
        <v>5.67589576547231</v>
      </c>
      <c r="P217" s="18" t="n">
        <f aca="false">IF(N217=0,0,Parameters!$B$8/N217)</f>
        <v>26.1026519183598</v>
      </c>
      <c r="Q217" s="28" t="n">
        <f aca="false">N217/Parameters!$B$8</f>
        <v>0.0383102836879433</v>
      </c>
    </row>
    <row r="218" customFormat="false" ht="15" hidden="false" customHeight="true" outlineLevel="0" collapsed="false">
      <c r="A218" s="13" t="s">
        <v>220</v>
      </c>
      <c r="B218" s="13" t="n">
        <v>6</v>
      </c>
      <c r="C218" s="13" t="n">
        <v>20</v>
      </c>
      <c r="D218" s="13" t="s">
        <v>136</v>
      </c>
      <c r="E218" s="13" t="n">
        <v>4</v>
      </c>
      <c r="F218" s="18" t="n">
        <v>89.2</v>
      </c>
      <c r="G218" s="13" t="n">
        <v>12.27</v>
      </c>
      <c r="H218" s="13" t="n">
        <v>72</v>
      </c>
      <c r="I218" s="13" t="n">
        <v>28.84</v>
      </c>
      <c r="J218" s="13" t="n">
        <v>0</v>
      </c>
      <c r="K218" s="13" t="n">
        <v>0</v>
      </c>
      <c r="L218" s="13" t="n">
        <v>343</v>
      </c>
      <c r="M218" s="13" t="n">
        <v>6</v>
      </c>
      <c r="N218" s="16" t="n">
        <f aca="false">H218*Parameters!$B$6/60</f>
        <v>1.86</v>
      </c>
      <c r="O218" s="18" t="n">
        <f aca="false">IF(G218=0,0,H218/G218)</f>
        <v>5.8679706601467</v>
      </c>
      <c r="P218" s="18" t="n">
        <f aca="false">IF(N218=0,0,Parameters!$B$8/N218)</f>
        <v>25.2688172043011</v>
      </c>
      <c r="Q218" s="28" t="n">
        <f aca="false">N218/Parameters!$B$8</f>
        <v>0.0395744680851064</v>
      </c>
    </row>
    <row r="219" customFormat="false" ht="15" hidden="false" customHeight="true" outlineLevel="0" collapsed="false">
      <c r="A219" s="13" t="s">
        <v>220</v>
      </c>
      <c r="B219" s="13" t="n">
        <v>6</v>
      </c>
      <c r="C219" s="13" t="n">
        <v>20</v>
      </c>
      <c r="D219" s="13" t="s">
        <v>137</v>
      </c>
      <c r="E219" s="13" t="n">
        <v>2</v>
      </c>
      <c r="F219" s="18" t="n">
        <v>0</v>
      </c>
      <c r="G219" s="13" t="n">
        <v>7.95</v>
      </c>
      <c r="H219" s="13" t="n">
        <v>59.5</v>
      </c>
      <c r="I219" s="13" t="n">
        <v>9.54</v>
      </c>
      <c r="J219" s="13" t="n">
        <v>0</v>
      </c>
      <c r="K219" s="13" t="n">
        <v>3</v>
      </c>
      <c r="L219" s="13" t="n">
        <v>475</v>
      </c>
      <c r="M219" s="13" t="n">
        <v>6</v>
      </c>
      <c r="N219" s="16" t="n">
        <f aca="false">H219*Parameters!$B$6/60</f>
        <v>1.53708333333333</v>
      </c>
      <c r="O219" s="18" t="n">
        <f aca="false">IF(G219=0,0,H219/G219)</f>
        <v>7.48427672955975</v>
      </c>
      <c r="P219" s="18" t="n">
        <f aca="false">IF(N219=0,0,Parameters!$B$8/N219)</f>
        <v>30.5773922472215</v>
      </c>
      <c r="Q219" s="28" t="n">
        <f aca="false">N219/Parameters!$B$8</f>
        <v>0.0327039007092199</v>
      </c>
    </row>
    <row r="220" customFormat="false" ht="15" hidden="false" customHeight="true" outlineLevel="0" collapsed="false">
      <c r="A220" s="13" t="s">
        <v>220</v>
      </c>
      <c r="B220" s="13" t="n">
        <v>6</v>
      </c>
      <c r="C220" s="13" t="n">
        <v>20</v>
      </c>
      <c r="D220" s="13" t="s">
        <v>137</v>
      </c>
      <c r="E220" s="13" t="n">
        <v>3</v>
      </c>
      <c r="F220" s="18" t="n">
        <v>1.2</v>
      </c>
      <c r="G220" s="13" t="n">
        <v>8.69</v>
      </c>
      <c r="H220" s="13" t="n">
        <v>58.2</v>
      </c>
      <c r="I220" s="13" t="n">
        <v>9.64</v>
      </c>
      <c r="J220" s="13" t="n">
        <v>0</v>
      </c>
      <c r="K220" s="13" t="n">
        <v>3</v>
      </c>
      <c r="L220" s="13" t="n">
        <v>475</v>
      </c>
      <c r="M220" s="13" t="n">
        <v>6</v>
      </c>
      <c r="N220" s="16" t="n">
        <f aca="false">H220*Parameters!$B$6/60</f>
        <v>1.5035</v>
      </c>
      <c r="O220" s="18" t="n">
        <f aca="false">IF(G220=0,0,H220/G220)</f>
        <v>6.69735327963176</v>
      </c>
      <c r="P220" s="18" t="n">
        <f aca="false">IF(N220=0,0,Parameters!$B$8/N220)</f>
        <v>31.2603924176921</v>
      </c>
      <c r="Q220" s="28" t="n">
        <f aca="false">N220/Parameters!$B$8</f>
        <v>0.0319893617021277</v>
      </c>
    </row>
    <row r="221" customFormat="false" ht="15" hidden="false" customHeight="true" outlineLevel="0" collapsed="false">
      <c r="A221" s="13" t="s">
        <v>220</v>
      </c>
      <c r="B221" s="13" t="n">
        <v>6</v>
      </c>
      <c r="C221" s="13" t="n">
        <v>20</v>
      </c>
      <c r="D221" s="13" t="s">
        <v>137</v>
      </c>
      <c r="E221" s="13" t="n">
        <v>4</v>
      </c>
      <c r="F221" s="18" t="n">
        <v>5.2</v>
      </c>
      <c r="G221" s="13" t="n">
        <v>8.84</v>
      </c>
      <c r="H221" s="13" t="n">
        <v>58.3</v>
      </c>
      <c r="I221" s="13" t="n">
        <v>9.52</v>
      </c>
      <c r="J221" s="13" t="n">
        <v>0</v>
      </c>
      <c r="K221" s="13" t="n">
        <v>3</v>
      </c>
      <c r="L221" s="13" t="n">
        <v>473</v>
      </c>
      <c r="M221" s="13" t="n">
        <v>6</v>
      </c>
      <c r="N221" s="16" t="n">
        <f aca="false">H221*Parameters!$B$6/60</f>
        <v>1.50608333333333</v>
      </c>
      <c r="O221" s="18" t="n">
        <f aca="false">IF(G221=0,0,H221/G221)</f>
        <v>6.59502262443439</v>
      </c>
      <c r="P221" s="18" t="n">
        <f aca="false">IF(N221=0,0,Parameters!$B$8/N221)</f>
        <v>31.2067725336137</v>
      </c>
      <c r="Q221" s="28" t="n">
        <f aca="false">N221/Parameters!$B$8</f>
        <v>0.0320443262411348</v>
      </c>
    </row>
    <row r="222" customFormat="false" ht="15" hidden="false" customHeight="true" outlineLevel="0" collapsed="false">
      <c r="A222" s="13" t="s">
        <v>220</v>
      </c>
      <c r="B222" s="13" t="n">
        <v>9</v>
      </c>
      <c r="C222" s="13" t="n">
        <v>12</v>
      </c>
      <c r="D222" s="13" t="s">
        <v>134</v>
      </c>
      <c r="E222" s="13" t="n">
        <v>0</v>
      </c>
      <c r="F222" s="18" t="n">
        <v>39.2</v>
      </c>
      <c r="G222" s="13" t="n">
        <v>12.04</v>
      </c>
      <c r="H222" s="13" t="n">
        <v>69.4</v>
      </c>
      <c r="I222" s="13" t="n">
        <v>12.76</v>
      </c>
      <c r="J222" s="13" t="n">
        <v>0</v>
      </c>
      <c r="K222" s="13" t="n">
        <v>0</v>
      </c>
      <c r="L222" s="13" t="n">
        <v>449</v>
      </c>
      <c r="M222" s="13" t="n">
        <v>9</v>
      </c>
      <c r="N222" s="16" t="n">
        <f aca="false">H222*Parameters!$B$6/60</f>
        <v>1.79283333333333</v>
      </c>
      <c r="O222" s="18" t="n">
        <f aca="false">IF(G222=0,0,H222/G222)</f>
        <v>5.76411960132891</v>
      </c>
      <c r="P222" s="18" t="n">
        <f aca="false">IF(N222=0,0,Parameters!$B$8/N222)</f>
        <v>26.2154875894766</v>
      </c>
      <c r="Q222" s="28" t="n">
        <f aca="false">N222/Parameters!$B$8</f>
        <v>0.038145390070922</v>
      </c>
    </row>
    <row r="223" customFormat="false" ht="15" hidden="false" customHeight="true" outlineLevel="0" collapsed="false">
      <c r="A223" s="13" t="s">
        <v>220</v>
      </c>
      <c r="B223" s="13" t="n">
        <v>9</v>
      </c>
      <c r="C223" s="13" t="n">
        <v>12</v>
      </c>
      <c r="D223" s="13" t="s">
        <v>135</v>
      </c>
      <c r="E223" s="13" t="n">
        <v>2</v>
      </c>
      <c r="F223" s="18" t="n">
        <v>91.6</v>
      </c>
      <c r="G223" s="13" t="n">
        <v>10.96</v>
      </c>
      <c r="H223" s="13" t="n">
        <v>61.3</v>
      </c>
      <c r="I223" s="13" t="n">
        <v>12.25</v>
      </c>
      <c r="J223" s="13" t="n">
        <v>12.18</v>
      </c>
      <c r="K223" s="13" t="n">
        <v>0</v>
      </c>
      <c r="L223" s="13" t="n">
        <v>367</v>
      </c>
      <c r="M223" s="13" t="n">
        <v>9</v>
      </c>
      <c r="N223" s="16" t="n">
        <f aca="false">H223*Parameters!$B$6/60</f>
        <v>1.58358333333333</v>
      </c>
      <c r="O223" s="18" t="n">
        <f aca="false">IF(G223=0,0,H223/G223)</f>
        <v>5.59306569343066</v>
      </c>
      <c r="P223" s="18" t="n">
        <f aca="false">IF(N223=0,0,Parameters!$B$8/N223)</f>
        <v>29.6795242856391</v>
      </c>
      <c r="Q223" s="28" t="n">
        <f aca="false">N223/Parameters!$B$8</f>
        <v>0.0336932624113475</v>
      </c>
    </row>
    <row r="224" customFormat="false" ht="15" hidden="false" customHeight="true" outlineLevel="0" collapsed="false">
      <c r="A224" s="13" t="s">
        <v>220</v>
      </c>
      <c r="B224" s="13" t="n">
        <v>9</v>
      </c>
      <c r="C224" s="13" t="n">
        <v>12</v>
      </c>
      <c r="D224" s="13" t="s">
        <v>135</v>
      </c>
      <c r="E224" s="13" t="n">
        <v>3</v>
      </c>
      <c r="F224" s="18" t="n">
        <v>93.2</v>
      </c>
      <c r="G224" s="13" t="n">
        <v>10.19</v>
      </c>
      <c r="H224" s="13" t="n">
        <v>58.4</v>
      </c>
      <c r="I224" s="13" t="n">
        <v>12.06</v>
      </c>
      <c r="J224" s="13" t="n">
        <v>23.68</v>
      </c>
      <c r="K224" s="13" t="n">
        <v>0</v>
      </c>
      <c r="L224" s="13" t="n">
        <v>354</v>
      </c>
      <c r="M224" s="13" t="n">
        <v>9</v>
      </c>
      <c r="N224" s="16" t="n">
        <f aca="false">H224*Parameters!$B$6/60</f>
        <v>1.50866666666667</v>
      </c>
      <c r="O224" s="18" t="n">
        <f aca="false">IF(G224=0,0,H224/G224)</f>
        <v>5.73110893032385</v>
      </c>
      <c r="P224" s="18" t="n">
        <f aca="false">IF(N224=0,0,Parameters!$B$8/N224)</f>
        <v>31.1533362792753</v>
      </c>
      <c r="Q224" s="28" t="n">
        <f aca="false">N224/Parameters!$B$8</f>
        <v>0.0320992907801418</v>
      </c>
    </row>
    <row r="225" customFormat="false" ht="15" hidden="false" customHeight="true" outlineLevel="0" collapsed="false">
      <c r="A225" s="13" t="s">
        <v>220</v>
      </c>
      <c r="B225" s="13" t="n">
        <v>9</v>
      </c>
      <c r="C225" s="13" t="n">
        <v>12</v>
      </c>
      <c r="D225" s="13" t="s">
        <v>135</v>
      </c>
      <c r="E225" s="13" t="n">
        <v>4</v>
      </c>
      <c r="F225" s="18" t="n">
        <v>93.2</v>
      </c>
      <c r="G225" s="13" t="n">
        <v>9.99</v>
      </c>
      <c r="H225" s="13" t="n">
        <v>57.5</v>
      </c>
      <c r="I225" s="13" t="n">
        <v>11.96</v>
      </c>
      <c r="J225" s="13" t="n">
        <v>33.1</v>
      </c>
      <c r="K225" s="13" t="n">
        <v>0</v>
      </c>
      <c r="L225" s="13" t="n">
        <v>350</v>
      </c>
      <c r="M225" s="13" t="n">
        <v>9</v>
      </c>
      <c r="N225" s="16" t="n">
        <f aca="false">H225*Parameters!$B$6/60</f>
        <v>1.48541666666667</v>
      </c>
      <c r="O225" s="18" t="n">
        <f aca="false">IF(G225=0,0,H225/G225)</f>
        <v>5.75575575575576</v>
      </c>
      <c r="P225" s="18" t="n">
        <f aca="false">IF(N225=0,0,Parameters!$B$8/N225)</f>
        <v>31.64095371669</v>
      </c>
      <c r="Q225" s="28" t="n">
        <f aca="false">N225/Parameters!$B$8</f>
        <v>0.031604609929078</v>
      </c>
    </row>
    <row r="226" customFormat="false" ht="15" hidden="false" customHeight="true" outlineLevel="0" collapsed="false">
      <c r="A226" s="13" t="s">
        <v>220</v>
      </c>
      <c r="B226" s="13" t="n">
        <v>9</v>
      </c>
      <c r="C226" s="13" t="n">
        <v>12</v>
      </c>
      <c r="D226" s="13" t="s">
        <v>136</v>
      </c>
      <c r="E226" s="13" t="n">
        <v>2</v>
      </c>
      <c r="F226" s="18" t="n">
        <v>99.6</v>
      </c>
      <c r="G226" s="13" t="n">
        <v>9.14</v>
      </c>
      <c r="H226" s="13" t="n">
        <v>55</v>
      </c>
      <c r="I226" s="13" t="n">
        <v>16.42</v>
      </c>
      <c r="J226" s="13" t="n">
        <v>0</v>
      </c>
      <c r="K226" s="13" t="n">
        <v>0</v>
      </c>
      <c r="L226" s="13" t="n">
        <v>246</v>
      </c>
      <c r="M226" s="13" t="n">
        <v>9</v>
      </c>
      <c r="N226" s="16" t="n">
        <f aca="false">H226*Parameters!$B$6/60</f>
        <v>1.42083333333333</v>
      </c>
      <c r="O226" s="18" t="n">
        <f aca="false">IF(G226=0,0,H226/G226)</f>
        <v>6.01750547045952</v>
      </c>
      <c r="P226" s="18" t="n">
        <f aca="false">IF(N226=0,0,Parameters!$B$8/N226)</f>
        <v>33.0791788856305</v>
      </c>
      <c r="Q226" s="28" t="n">
        <f aca="false">N226/Parameters!$B$8</f>
        <v>0.0302304964539007</v>
      </c>
    </row>
    <row r="227" customFormat="false" ht="15" hidden="false" customHeight="true" outlineLevel="0" collapsed="false">
      <c r="A227" s="13" t="s">
        <v>220</v>
      </c>
      <c r="B227" s="13" t="n">
        <v>9</v>
      </c>
      <c r="C227" s="13" t="n">
        <v>12</v>
      </c>
      <c r="D227" s="13" t="s">
        <v>136</v>
      </c>
      <c r="E227" s="13" t="n">
        <v>3</v>
      </c>
      <c r="F227" s="18" t="n">
        <v>99.6</v>
      </c>
      <c r="G227" s="13" t="n">
        <v>8.86</v>
      </c>
      <c r="H227" s="13" t="n">
        <v>53.3</v>
      </c>
      <c r="I227" s="13" t="n">
        <v>16.65</v>
      </c>
      <c r="J227" s="13" t="n">
        <v>0</v>
      </c>
      <c r="K227" s="13" t="n">
        <v>0</v>
      </c>
      <c r="L227" s="13" t="n">
        <v>228</v>
      </c>
      <c r="M227" s="13" t="n">
        <v>9</v>
      </c>
      <c r="N227" s="16" t="n">
        <f aca="false">H227*Parameters!$B$6/60</f>
        <v>1.37691666666667</v>
      </c>
      <c r="O227" s="18" t="n">
        <f aca="false">IF(G227=0,0,H227/G227)</f>
        <v>6.01580135440181</v>
      </c>
      <c r="P227" s="18" t="n">
        <f aca="false">IF(N227=0,0,Parameters!$B$8/N227)</f>
        <v>34.134237124009</v>
      </c>
      <c r="Q227" s="28" t="n">
        <f aca="false">N227/Parameters!$B$8</f>
        <v>0.0292960992907801</v>
      </c>
    </row>
    <row r="228" customFormat="false" ht="15" hidden="false" customHeight="true" outlineLevel="0" collapsed="false">
      <c r="A228" s="13" t="s">
        <v>220</v>
      </c>
      <c r="B228" s="13" t="n">
        <v>9</v>
      </c>
      <c r="C228" s="13" t="n">
        <v>12</v>
      </c>
      <c r="D228" s="13" t="s">
        <v>136</v>
      </c>
      <c r="E228" s="13" t="n">
        <v>4</v>
      </c>
      <c r="F228" s="18" t="n">
        <v>99.6</v>
      </c>
      <c r="G228" s="13" t="n">
        <v>8.24</v>
      </c>
      <c r="H228" s="13" t="n">
        <v>51.3</v>
      </c>
      <c r="I228" s="13" t="n">
        <v>17.2</v>
      </c>
      <c r="J228" s="13" t="n">
        <v>0</v>
      </c>
      <c r="K228" s="13" t="n">
        <v>0</v>
      </c>
      <c r="L228" s="13" t="n">
        <v>202</v>
      </c>
      <c r="M228" s="13" t="n">
        <v>9</v>
      </c>
      <c r="N228" s="16" t="n">
        <f aca="false">H228*Parameters!$B$6/60</f>
        <v>1.32525</v>
      </c>
      <c r="O228" s="18" t="n">
        <f aca="false">IF(G228=0,0,H228/G228)</f>
        <v>6.22572815533981</v>
      </c>
      <c r="P228" s="18" t="n">
        <f aca="false">IF(N228=0,0,Parameters!$B$8/N228)</f>
        <v>35.4650066025278</v>
      </c>
      <c r="Q228" s="28" t="n">
        <f aca="false">N228/Parameters!$B$8</f>
        <v>0.0281968085106383</v>
      </c>
    </row>
    <row r="229" customFormat="false" ht="15" hidden="false" customHeight="true" outlineLevel="0" collapsed="false">
      <c r="A229" s="13" t="s">
        <v>220</v>
      </c>
      <c r="B229" s="13" t="n">
        <v>9</v>
      </c>
      <c r="C229" s="13" t="n">
        <v>12</v>
      </c>
      <c r="D229" s="13" t="s">
        <v>137</v>
      </c>
      <c r="E229" s="13" t="n">
        <v>2</v>
      </c>
      <c r="F229" s="18" t="n">
        <v>100</v>
      </c>
      <c r="G229" s="13" t="n">
        <v>5.98</v>
      </c>
      <c r="H229" s="13" t="n">
        <v>35.3</v>
      </c>
      <c r="I229" s="13" t="n">
        <v>4</v>
      </c>
      <c r="J229" s="13" t="n">
        <v>0</v>
      </c>
      <c r="K229" s="13" t="n">
        <v>3</v>
      </c>
      <c r="L229" s="13" t="n">
        <v>177</v>
      </c>
      <c r="M229" s="13" t="n">
        <v>9</v>
      </c>
      <c r="N229" s="16" t="n">
        <f aca="false">H229*Parameters!$B$6/60</f>
        <v>0.911916666666667</v>
      </c>
      <c r="O229" s="18" t="n">
        <f aca="false">IF(G229=0,0,H229/G229)</f>
        <v>5.90301003344482</v>
      </c>
      <c r="P229" s="18" t="n">
        <f aca="false">IF(N229=0,0,Parameters!$B$8/N229)</f>
        <v>51.5397971305858</v>
      </c>
      <c r="Q229" s="28" t="n">
        <f aca="false">N229/Parameters!$B$8</f>
        <v>0.0194024822695035</v>
      </c>
    </row>
    <row r="230" customFormat="false" ht="15" hidden="false" customHeight="true" outlineLevel="0" collapsed="false">
      <c r="A230" s="13" t="s">
        <v>220</v>
      </c>
      <c r="B230" s="13" t="n">
        <v>9</v>
      </c>
      <c r="C230" s="13" t="n">
        <v>12</v>
      </c>
      <c r="D230" s="13" t="s">
        <v>137</v>
      </c>
      <c r="E230" s="13" t="n">
        <v>3</v>
      </c>
      <c r="F230" s="18" t="n">
        <v>100</v>
      </c>
      <c r="G230" s="13" t="n">
        <v>5</v>
      </c>
      <c r="H230" s="13" t="n">
        <v>29.4</v>
      </c>
      <c r="I230" s="13" t="n">
        <v>3</v>
      </c>
      <c r="J230" s="13" t="n">
        <v>0</v>
      </c>
      <c r="K230" s="13" t="n">
        <v>3</v>
      </c>
      <c r="L230" s="13" t="n">
        <v>153</v>
      </c>
      <c r="M230" s="13" t="n">
        <v>9</v>
      </c>
      <c r="N230" s="16" t="n">
        <f aca="false">H230*Parameters!$B$6/60</f>
        <v>0.7595</v>
      </c>
      <c r="O230" s="18" t="n">
        <f aca="false">IF(G230=0,0,H230/G230)</f>
        <v>5.88</v>
      </c>
      <c r="P230" s="18" t="n">
        <f aca="false">IF(N230=0,0,Parameters!$B$8/N230)</f>
        <v>61.8828176431863</v>
      </c>
      <c r="Q230" s="28" t="n">
        <f aca="false">N230/Parameters!$B$8</f>
        <v>0.0161595744680851</v>
      </c>
    </row>
    <row r="231" customFormat="false" ht="15" hidden="false" customHeight="true" outlineLevel="0" collapsed="false">
      <c r="A231" s="13" t="s">
        <v>220</v>
      </c>
      <c r="B231" s="13" t="n">
        <v>9</v>
      </c>
      <c r="C231" s="13" t="n">
        <v>12</v>
      </c>
      <c r="D231" s="13" t="s">
        <v>137</v>
      </c>
      <c r="E231" s="13" t="n">
        <v>4</v>
      </c>
      <c r="F231" s="18" t="n">
        <v>100</v>
      </c>
      <c r="G231" s="13" t="n">
        <v>5</v>
      </c>
      <c r="H231" s="13" t="n">
        <v>30.3</v>
      </c>
      <c r="I231" s="13" t="n">
        <v>4</v>
      </c>
      <c r="J231" s="13" t="n">
        <v>0</v>
      </c>
      <c r="K231" s="13" t="n">
        <v>3</v>
      </c>
      <c r="L231" s="13" t="n">
        <v>170</v>
      </c>
      <c r="M231" s="13" t="n">
        <v>9</v>
      </c>
      <c r="N231" s="16" t="n">
        <f aca="false">H231*Parameters!$B$6/60</f>
        <v>0.78275</v>
      </c>
      <c r="O231" s="18" t="n">
        <f aca="false">IF(G231=0,0,H231/G231)</f>
        <v>6.06</v>
      </c>
      <c r="P231" s="18" t="n">
        <f aca="false">IF(N231=0,0,Parameters!$B$8/N231)</f>
        <v>60.0447141488342</v>
      </c>
      <c r="Q231" s="28" t="n">
        <f aca="false">N231/Parameters!$B$8</f>
        <v>0.0166542553191489</v>
      </c>
    </row>
    <row r="232" customFormat="false" ht="15" hidden="false" customHeight="true" outlineLevel="0" collapsed="false">
      <c r="A232" s="13" t="s">
        <v>220</v>
      </c>
      <c r="B232" s="13" t="n">
        <v>9</v>
      </c>
      <c r="C232" s="13" t="n">
        <v>20</v>
      </c>
      <c r="D232" s="13" t="s">
        <v>134</v>
      </c>
      <c r="E232" s="13" t="n">
        <v>0</v>
      </c>
      <c r="F232" s="18" t="n">
        <v>0</v>
      </c>
      <c r="G232" s="13" t="n">
        <v>6.06</v>
      </c>
      <c r="H232" s="13" t="n">
        <v>55.7</v>
      </c>
      <c r="I232" s="13" t="n">
        <v>11.29</v>
      </c>
      <c r="J232" s="13" t="n">
        <v>0</v>
      </c>
      <c r="K232" s="13" t="n">
        <v>0</v>
      </c>
      <c r="L232" s="13" t="n">
        <v>467</v>
      </c>
      <c r="M232" s="13" t="n">
        <v>9</v>
      </c>
      <c r="N232" s="16" t="n">
        <f aca="false">H232*Parameters!$B$6/60</f>
        <v>1.43891666666667</v>
      </c>
      <c r="O232" s="18" t="n">
        <f aca="false">IF(G232=0,0,H232/G232)</f>
        <v>9.19141914191419</v>
      </c>
      <c r="P232" s="18" t="n">
        <f aca="false">IF(N232=0,0,Parameters!$B$8/N232)</f>
        <v>32.6634620953263</v>
      </c>
      <c r="Q232" s="28" t="n">
        <f aca="false">N232/Parameters!$B$8</f>
        <v>0.0306152482269504</v>
      </c>
    </row>
    <row r="233" customFormat="false" ht="15" hidden="false" customHeight="true" outlineLevel="0" collapsed="false">
      <c r="A233" s="13" t="s">
        <v>220</v>
      </c>
      <c r="B233" s="13" t="n">
        <v>9</v>
      </c>
      <c r="C233" s="13" t="n">
        <v>20</v>
      </c>
      <c r="D233" s="13" t="s">
        <v>135</v>
      </c>
      <c r="E233" s="13" t="n">
        <v>2</v>
      </c>
      <c r="F233" s="18" t="n">
        <v>0</v>
      </c>
      <c r="G233" s="13" t="n">
        <v>5.86</v>
      </c>
      <c r="H233" s="13" t="n">
        <v>54.6</v>
      </c>
      <c r="I233" s="13" t="n">
        <v>10.76</v>
      </c>
      <c r="J233" s="13" t="n">
        <v>10</v>
      </c>
      <c r="K233" s="13" t="n">
        <v>0</v>
      </c>
      <c r="L233" s="13" t="n">
        <v>468</v>
      </c>
      <c r="M233" s="13" t="n">
        <v>9</v>
      </c>
      <c r="N233" s="16" t="n">
        <f aca="false">H233*Parameters!$B$6/60</f>
        <v>1.4105</v>
      </c>
      <c r="O233" s="18" t="n">
        <f aca="false">IF(G233=0,0,H233/G233)</f>
        <v>9.31740614334471</v>
      </c>
      <c r="P233" s="18" t="n">
        <f aca="false">IF(N233=0,0,Parameters!$B$8/N233)</f>
        <v>33.3215171924849</v>
      </c>
      <c r="Q233" s="28" t="n">
        <f aca="false">N233/Parameters!$B$8</f>
        <v>0.0300106382978723</v>
      </c>
    </row>
    <row r="234" customFormat="false" ht="15" hidden="false" customHeight="true" outlineLevel="0" collapsed="false">
      <c r="A234" s="13" t="s">
        <v>220</v>
      </c>
      <c r="B234" s="13" t="n">
        <v>9</v>
      </c>
      <c r="C234" s="13" t="n">
        <v>20</v>
      </c>
      <c r="D234" s="13" t="s">
        <v>135</v>
      </c>
      <c r="E234" s="13" t="n">
        <v>3</v>
      </c>
      <c r="F234" s="18" t="n">
        <v>0</v>
      </c>
      <c r="G234" s="13" t="n">
        <v>5.86</v>
      </c>
      <c r="H234" s="13" t="n">
        <v>54.6</v>
      </c>
      <c r="I234" s="13" t="n">
        <v>10.76</v>
      </c>
      <c r="J234" s="13" t="n">
        <v>18.78</v>
      </c>
      <c r="K234" s="13" t="n">
        <v>0</v>
      </c>
      <c r="L234" s="13" t="n">
        <v>468</v>
      </c>
      <c r="M234" s="13" t="n">
        <v>9</v>
      </c>
      <c r="N234" s="16" t="n">
        <f aca="false">H234*Parameters!$B$6/60</f>
        <v>1.4105</v>
      </c>
      <c r="O234" s="18" t="n">
        <f aca="false">IF(G234=0,0,H234/G234)</f>
        <v>9.31740614334471</v>
      </c>
      <c r="P234" s="18" t="n">
        <f aca="false">IF(N234=0,0,Parameters!$B$8/N234)</f>
        <v>33.3215171924849</v>
      </c>
      <c r="Q234" s="28" t="n">
        <f aca="false">N234/Parameters!$B$8</f>
        <v>0.0300106382978723</v>
      </c>
    </row>
    <row r="235" customFormat="false" ht="15" hidden="false" customHeight="true" outlineLevel="0" collapsed="false">
      <c r="A235" s="13" t="s">
        <v>220</v>
      </c>
      <c r="B235" s="13" t="n">
        <v>9</v>
      </c>
      <c r="C235" s="13" t="n">
        <v>20</v>
      </c>
      <c r="D235" s="13" t="s">
        <v>135</v>
      </c>
      <c r="E235" s="13" t="n">
        <v>4</v>
      </c>
      <c r="F235" s="18" t="n">
        <v>0</v>
      </c>
      <c r="G235" s="13" t="n">
        <v>5.86</v>
      </c>
      <c r="H235" s="13" t="n">
        <v>54.6</v>
      </c>
      <c r="I235" s="13" t="n">
        <v>10.75</v>
      </c>
      <c r="J235" s="13" t="n">
        <v>25.64</v>
      </c>
      <c r="K235" s="13" t="n">
        <v>0</v>
      </c>
      <c r="L235" s="13" t="n">
        <v>468</v>
      </c>
      <c r="M235" s="13" t="n">
        <v>9</v>
      </c>
      <c r="N235" s="16" t="n">
        <f aca="false">H235*Parameters!$B$6/60</f>
        <v>1.4105</v>
      </c>
      <c r="O235" s="18" t="n">
        <f aca="false">IF(G235=0,0,H235/G235)</f>
        <v>9.31740614334471</v>
      </c>
      <c r="P235" s="18" t="n">
        <f aca="false">IF(N235=0,0,Parameters!$B$8/N235)</f>
        <v>33.3215171924849</v>
      </c>
      <c r="Q235" s="28" t="n">
        <f aca="false">N235/Parameters!$B$8</f>
        <v>0.0300106382978723</v>
      </c>
    </row>
    <row r="236" customFormat="false" ht="15" hidden="false" customHeight="true" outlineLevel="0" collapsed="false">
      <c r="A236" s="13" t="s">
        <v>220</v>
      </c>
      <c r="B236" s="13" t="n">
        <v>9</v>
      </c>
      <c r="C236" s="13" t="n">
        <v>20</v>
      </c>
      <c r="D236" s="13" t="s">
        <v>136</v>
      </c>
      <c r="E236" s="13" t="n">
        <v>2</v>
      </c>
      <c r="F236" s="18" t="n">
        <v>0</v>
      </c>
      <c r="G236" s="13" t="n">
        <v>8.34</v>
      </c>
      <c r="H236" s="13" t="n">
        <v>66.3</v>
      </c>
      <c r="I236" s="13" t="n">
        <v>21.6</v>
      </c>
      <c r="J236" s="13" t="n">
        <v>0</v>
      </c>
      <c r="K236" s="13" t="n">
        <v>0</v>
      </c>
      <c r="L236" s="13" t="n">
        <v>478</v>
      </c>
      <c r="M236" s="13" t="n">
        <v>9</v>
      </c>
      <c r="N236" s="16" t="n">
        <f aca="false">H236*Parameters!$B$6/60</f>
        <v>1.71275</v>
      </c>
      <c r="O236" s="18" t="n">
        <f aca="false">IF(G236=0,0,H236/G236)</f>
        <v>7.94964028776978</v>
      </c>
      <c r="P236" s="18" t="n">
        <f aca="false">IF(N236=0,0,Parameters!$B$8/N236)</f>
        <v>27.4412494526347</v>
      </c>
      <c r="Q236" s="28" t="n">
        <f aca="false">N236/Parameters!$B$8</f>
        <v>0.0364414893617021</v>
      </c>
    </row>
    <row r="237" customFormat="false" ht="15" hidden="false" customHeight="true" outlineLevel="0" collapsed="false">
      <c r="A237" s="13" t="s">
        <v>220</v>
      </c>
      <c r="B237" s="13" t="n">
        <v>9</v>
      </c>
      <c r="C237" s="13" t="n">
        <v>20</v>
      </c>
      <c r="D237" s="13" t="s">
        <v>136</v>
      </c>
      <c r="E237" s="13" t="n">
        <v>3</v>
      </c>
      <c r="F237" s="18" t="n">
        <v>0</v>
      </c>
      <c r="G237" s="13" t="n">
        <v>8.76</v>
      </c>
      <c r="H237" s="13" t="n">
        <v>67.3</v>
      </c>
      <c r="I237" s="13" t="n">
        <v>23.12</v>
      </c>
      <c r="J237" s="13" t="n">
        <v>0</v>
      </c>
      <c r="K237" s="13" t="n">
        <v>0</v>
      </c>
      <c r="L237" s="13" t="n">
        <v>479</v>
      </c>
      <c r="M237" s="13" t="n">
        <v>9</v>
      </c>
      <c r="N237" s="16" t="n">
        <f aca="false">H237*Parameters!$B$6/60</f>
        <v>1.73858333333333</v>
      </c>
      <c r="O237" s="18" t="n">
        <f aca="false">IF(G237=0,0,H237/G237)</f>
        <v>7.68264840182648</v>
      </c>
      <c r="P237" s="18" t="n">
        <f aca="false">IF(N237=0,0,Parameters!$B$8/N237)</f>
        <v>27.0335042898912</v>
      </c>
      <c r="Q237" s="28" t="n">
        <f aca="false">N237/Parameters!$B$8</f>
        <v>0.0369911347517731</v>
      </c>
    </row>
    <row r="238" customFormat="false" ht="15" hidden="false" customHeight="true" outlineLevel="0" collapsed="false">
      <c r="A238" s="13" t="s">
        <v>220</v>
      </c>
      <c r="B238" s="13" t="n">
        <v>9</v>
      </c>
      <c r="C238" s="13" t="n">
        <v>20</v>
      </c>
      <c r="D238" s="13" t="s">
        <v>136</v>
      </c>
      <c r="E238" s="13" t="n">
        <v>4</v>
      </c>
      <c r="F238" s="18" t="n">
        <v>41.6</v>
      </c>
      <c r="G238" s="13" t="n">
        <v>12.23</v>
      </c>
      <c r="H238" s="13" t="n">
        <v>80.8</v>
      </c>
      <c r="I238" s="13" t="n">
        <v>29.63</v>
      </c>
      <c r="J238" s="13" t="n">
        <v>0</v>
      </c>
      <c r="K238" s="13" t="n">
        <v>0</v>
      </c>
      <c r="L238" s="13" t="n">
        <v>443</v>
      </c>
      <c r="M238" s="13" t="n">
        <v>9</v>
      </c>
      <c r="N238" s="16" t="n">
        <f aca="false">H238*Parameters!$B$6/60</f>
        <v>2.08733333333333</v>
      </c>
      <c r="O238" s="18" t="n">
        <f aca="false">IF(G238=0,0,H238/G238)</f>
        <v>6.60670482420278</v>
      </c>
      <c r="P238" s="18" t="n">
        <f aca="false">IF(N238=0,0,Parameters!$B$8/N238)</f>
        <v>22.5167678058128</v>
      </c>
      <c r="Q238" s="28" t="n">
        <f aca="false">N238/Parameters!$B$8</f>
        <v>0.0444113475177305</v>
      </c>
    </row>
    <row r="239" customFormat="false" ht="15" hidden="false" customHeight="true" outlineLevel="0" collapsed="false">
      <c r="A239" s="13" t="s">
        <v>220</v>
      </c>
      <c r="B239" s="13" t="n">
        <v>9</v>
      </c>
      <c r="C239" s="13" t="n">
        <v>20</v>
      </c>
      <c r="D239" s="13" t="s">
        <v>137</v>
      </c>
      <c r="E239" s="13" t="n">
        <v>2</v>
      </c>
      <c r="F239" s="18" t="n">
        <v>2</v>
      </c>
      <c r="G239" s="13" t="n">
        <v>8.4</v>
      </c>
      <c r="H239" s="13" t="n">
        <v>58.6</v>
      </c>
      <c r="I239" s="13" t="n">
        <v>10.49</v>
      </c>
      <c r="J239" s="13" t="n">
        <v>0</v>
      </c>
      <c r="K239" s="13" t="n">
        <v>3</v>
      </c>
      <c r="L239" s="13" t="n">
        <v>481</v>
      </c>
      <c r="M239" s="13" t="n">
        <v>9</v>
      </c>
      <c r="N239" s="16" t="n">
        <f aca="false">H239*Parameters!$B$6/60</f>
        <v>1.51383333333333</v>
      </c>
      <c r="O239" s="18" t="n">
        <f aca="false">IF(G239=0,0,H239/G239)</f>
        <v>6.97619047619048</v>
      </c>
      <c r="P239" s="18" t="n">
        <f aca="false">IF(N239=0,0,Parameters!$B$8/N239)</f>
        <v>31.0470108994826</v>
      </c>
      <c r="Q239" s="28" t="n">
        <f aca="false">N239/Parameters!$B$8</f>
        <v>0.032209219858156</v>
      </c>
    </row>
    <row r="240" customFormat="false" ht="15" hidden="false" customHeight="true" outlineLevel="0" collapsed="false">
      <c r="A240" s="13" t="s">
        <v>220</v>
      </c>
      <c r="B240" s="13" t="n">
        <v>9</v>
      </c>
      <c r="C240" s="13" t="n">
        <v>20</v>
      </c>
      <c r="D240" s="13" t="s">
        <v>137</v>
      </c>
      <c r="E240" s="13" t="n">
        <v>3</v>
      </c>
      <c r="F240" s="18" t="n">
        <v>95.2</v>
      </c>
      <c r="G240" s="13" t="n">
        <v>8.33</v>
      </c>
      <c r="H240" s="13" t="n">
        <v>48.9</v>
      </c>
      <c r="I240" s="13" t="n">
        <v>6.38</v>
      </c>
      <c r="J240" s="13" t="n">
        <v>0</v>
      </c>
      <c r="K240" s="13" t="n">
        <v>3</v>
      </c>
      <c r="L240" s="13" t="n">
        <v>316</v>
      </c>
      <c r="M240" s="13" t="n">
        <v>9</v>
      </c>
      <c r="N240" s="16" t="n">
        <f aca="false">H240*Parameters!$B$6/60</f>
        <v>1.26325</v>
      </c>
      <c r="O240" s="18" t="n">
        <f aca="false">IF(G240=0,0,H240/G240)</f>
        <v>5.8703481392557</v>
      </c>
      <c r="P240" s="18" t="n">
        <f aca="false">IF(N240=0,0,Parameters!$B$8/N240)</f>
        <v>37.2056204235108</v>
      </c>
      <c r="Q240" s="28" t="n">
        <f aca="false">N240/Parameters!$B$8</f>
        <v>0.0268776595744681</v>
      </c>
    </row>
    <row r="241" customFormat="false" ht="15" hidden="false" customHeight="true" outlineLevel="0" collapsed="false">
      <c r="A241" s="13" t="s">
        <v>220</v>
      </c>
      <c r="B241" s="13" t="n">
        <v>9</v>
      </c>
      <c r="C241" s="13" t="n">
        <v>20</v>
      </c>
      <c r="D241" s="13" t="s">
        <v>137</v>
      </c>
      <c r="E241" s="13" t="n">
        <v>4</v>
      </c>
      <c r="F241" s="18" t="n">
        <v>96.8</v>
      </c>
      <c r="G241" s="13" t="n">
        <v>7.32</v>
      </c>
      <c r="H241" s="13" t="n">
        <v>45.5</v>
      </c>
      <c r="I241" s="13" t="n">
        <v>7.23</v>
      </c>
      <c r="J241" s="13" t="n">
        <v>0</v>
      </c>
      <c r="K241" s="13" t="n">
        <v>3</v>
      </c>
      <c r="L241" s="13" t="n">
        <v>302</v>
      </c>
      <c r="M241" s="13" t="n">
        <v>9</v>
      </c>
      <c r="N241" s="16" t="n">
        <f aca="false">H241*Parameters!$B$6/60</f>
        <v>1.17541666666667</v>
      </c>
      <c r="O241" s="18" t="n">
        <f aca="false">IF(G241=0,0,H241/G241)</f>
        <v>6.21584699453552</v>
      </c>
      <c r="P241" s="18" t="n">
        <f aca="false">IF(N241=0,0,Parameters!$B$8/N241)</f>
        <v>39.9858206309819</v>
      </c>
      <c r="Q241" s="28" t="n">
        <f aca="false">N241/Parameters!$B$8</f>
        <v>0.025008865248227</v>
      </c>
    </row>
  </sheetData>
  <autoFilter ref="A1:Q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2026-09-09T04:44:21Z</dcterms:created>
  <dc:creator>openpyxl</dc:creator>
  <dc:description/>
  <dc:language>en-US</dc:language>
  <cp:lastModifiedBy/>
  <dcterms:modified xsi:type="dcterms:W3CDTF">2026-09-09T07:20:33Z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